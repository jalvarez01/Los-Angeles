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6000" windowHeight="21620" tabRatio="600" firstSheet="0" activeTab="0" autoFilterDateGrouping="1"/>
  </bookViews>
  <sheets>
    <sheet xmlns:r="http://schemas.openxmlformats.org/officeDocument/2006/relationships" name="Instrucciones" sheetId="1" state="visible" r:id="rId1"/>
    <sheet xmlns:r="http://schemas.openxmlformats.org/officeDocument/2006/relationships" name="1. Fuentes" sheetId="2" state="visible" r:id="rId2"/>
    <sheet xmlns:r="http://schemas.openxmlformats.org/officeDocument/2006/relationships" name="2. Diccionario" sheetId="3" state="visible" r:id="rId3"/>
    <sheet xmlns:r="http://schemas.openxmlformats.org/officeDocument/2006/relationships" name="3. Bitácora IA" sheetId="4" state="visible" r:id="rId4"/>
    <sheet xmlns:r="http://schemas.openxmlformats.org/officeDocument/2006/relationships" name="Resumen" sheetId="5" state="visible" r:id="rId5"/>
  </sheets>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000000"/>
      <sz val="14"/>
    </font>
    <font>
      <name val="Arial"/>
      <family val="2"/>
      <color rgb="FF555555"/>
      <sz val="9"/>
    </font>
    <font>
      <name val="Arial"/>
      <family val="2"/>
      <color rgb="FF000000"/>
      <sz val="10"/>
    </font>
    <font>
      <name val="Arial"/>
      <family val="2"/>
      <b val="1"/>
      <color rgb="FF000000"/>
      <sz val="11"/>
    </font>
    <font>
      <name val="Arial"/>
      <family val="2"/>
      <b val="1"/>
      <sz val="14"/>
    </font>
    <font>
      <name val="Arial"/>
      <family val="2"/>
      <i val="1"/>
      <color rgb="FF555555"/>
      <sz val="9"/>
    </font>
    <font>
      <name val="Arial"/>
      <family val="2"/>
      <b val="1"/>
      <color rgb="FFFFFFFF"/>
      <sz val="10"/>
    </font>
    <font>
      <name val="Arial"/>
      <family val="2"/>
      <i val="1"/>
      <color rgb="FF666666"/>
      <sz val="9"/>
    </font>
    <font>
      <name val="Arial"/>
      <family val="2"/>
      <sz val="10"/>
    </font>
    <font>
      <name val="Arial"/>
      <family val="2"/>
      <b val="1"/>
      <sz val="10"/>
    </font>
  </fonts>
  <fills count="5">
    <fill>
      <patternFill/>
    </fill>
    <fill>
      <patternFill patternType="gray125"/>
    </fill>
    <fill>
      <patternFill patternType="solid">
        <fgColor rgb="FFFFF7CC"/>
      </patternFill>
    </fill>
    <fill>
      <patternFill patternType="solid">
        <fgColor rgb="FF1F1F1F"/>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3" fillId="2" borderId="0" applyAlignment="1" pivotButton="0" quotePrefix="0" xfId="0">
      <alignment wrapText="1"/>
    </xf>
    <xf numFmtId="0" fontId="5" fillId="0" borderId="0" pivotButton="0" quotePrefix="0" xfId="0"/>
    <xf numFmtId="0" fontId="6" fillId="0" borderId="0" pivotButton="0" quotePrefix="0" xfId="0"/>
    <xf numFmtId="0" fontId="7" fillId="3" borderId="1" applyAlignment="1" pivotButton="0" quotePrefix="0" xfId="0">
      <alignment vertical="center" wrapText="1"/>
    </xf>
    <xf numFmtId="0" fontId="8" fillId="4" borderId="1" applyAlignment="1" pivotButton="0" quotePrefix="0" xfId="0">
      <alignment vertical="top" wrapText="1"/>
    </xf>
    <xf numFmtId="0" fontId="9" fillId="2" borderId="1" applyAlignment="1" pivotButton="0" quotePrefix="0" xfId="0">
      <alignment vertical="top" wrapText="1"/>
    </xf>
    <xf numFmtId="0" fontId="10" fillId="0" borderId="0" pivotButton="0" quotePrefix="0" xfId="0"/>
    <xf numFmtId="0" fontId="9" fillId="0" borderId="1" pivotButton="0" quotePrefix="0" xfId="0"/>
    <xf numFmtId="0" fontId="9" fillId="0" borderId="0" pivotButton="0" quotePrefix="0" xfId="0"/>
    <xf numFmtId="9" fontId="9"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1"/>
  <sheetViews>
    <sheetView tabSelected="1" workbookViewId="0">
      <selection activeCell="A1" sqref="A1"/>
    </sheetView>
  </sheetViews>
  <sheetFormatPr baseColWidth="10" defaultColWidth="8.83203125" defaultRowHeight="15"/>
  <cols>
    <col width="4" customWidth="1" min="1" max="1"/>
    <col width="110" customWidth="1" min="2" max="2"/>
  </cols>
  <sheetData>
    <row r="1" ht="19" customHeight="1">
      <c r="B1" s="1" t="inlineStr">
        <is>
          <t>Taller de datos · Entrega 1 · El lago y su diccionario</t>
        </is>
      </c>
    </row>
    <row r="2">
      <c r="B2" s="2" t="inlineStr">
        <is>
          <t>Tópicos de Sistemas de Información · Profesor Santiago Jiménez Londoño · topicos-si.vercel.app/Tallerdatos</t>
        </is>
      </c>
    </row>
    <row r="3">
      <c r="B3" s="3" t="n"/>
    </row>
    <row r="4" ht="16" customHeight="1">
      <c r="B4" s="4" t="inlineStr">
        <is>
          <t>Datos del grupo</t>
        </is>
      </c>
    </row>
    <row r="5">
      <c r="B5" s="5" t="inlineStr">
        <is>
          <t>Ciudad elegida: Los Ángeles, California (EE. UU.) · la ciudad, código FIPS 06-44000</t>
        </is>
      </c>
    </row>
    <row r="6">
      <c r="B6" s="5" t="inlineStr">
        <is>
          <t>Integrantes: Jeronimo Escobar Restrepo · Juan Jose Alvarez Ocampo</t>
        </is>
      </c>
    </row>
    <row r="7">
      <c r="B7" s="5" t="inlineStr">
        <is>
          <t>Enlace al repositorio o a la carpeta del lago: https://github.com/jalvarez01/Los-Angeles</t>
        </is>
      </c>
    </row>
    <row r="8">
      <c r="B8" s="3" t="n"/>
    </row>
    <row r="9" ht="16" customHeight="1">
      <c r="B9" s="4" t="inlineStr">
        <is>
          <t>Qué entregan en este archivo</t>
        </is>
      </c>
    </row>
    <row r="10" ht="29" customHeight="1">
      <c r="B10" s="3" t="inlineStr">
        <is>
          <t>1. Fuentes · una fila por cada fuente que encontraron en el rastreo, entre o no al lago. Las descartadas también cuentan: explican las decisiones.</t>
        </is>
      </c>
    </row>
    <row r="11">
      <c r="B11" s="3" t="inlineStr">
        <is>
          <t>2. Diccionario · una fila por cada campo (columna o clave del JSON) que quedó en el lago. Si un campo no está aquí, no existe.</t>
        </is>
      </c>
    </row>
    <row r="12">
      <c r="B12" s="3" t="inlineStr">
        <is>
          <t>3. Bitácora IA · qué le encargaron a la IA durante la búsqueda, qué respondió y cómo lo comprobaron.</t>
        </is>
      </c>
    </row>
    <row r="13">
      <c r="B13" s="3" t="inlineStr">
        <is>
          <t>Resumen · se llena solo con fórmulas. No lo editen.</t>
        </is>
      </c>
    </row>
    <row r="14">
      <c r="B14" s="3" t="n"/>
    </row>
    <row r="15" ht="16" customHeight="1">
      <c r="B15" s="4" t="inlineStr">
        <is>
          <t>Cómo llenarlo</t>
        </is>
      </c>
    </row>
    <row r="16" ht="29" customHeight="1">
      <c r="B16" s="3" t="inlineStr">
        <is>
          <t>• Escriban solo en las celdas amarillas. La fila gris de cada hoja es un ejemplo (Medellín): pueden borrarla o dejarla, el resumen no la cuenta.</t>
        </is>
      </c>
    </row>
    <row r="17">
      <c r="B17" s="3" t="inlineStr">
        <is>
          <t>• El ID de fuente (F01, F02…) une las tres hojas: úsenlo igual en Fuentes, Diccionario y Bitácora IA.</t>
        </is>
      </c>
    </row>
    <row r="18">
      <c r="B18" s="3" t="inlineStr">
        <is>
          <t>• Las columnas con lista desplegable solo aceptan esas opciones.</t>
        </is>
      </c>
    </row>
    <row r="19">
      <c r="B19" s="3" t="inlineStr">
        <is>
          <t>• La licencia se copia tal como aparece en la fuente. Si la fuente no dice nada, escriban «no declara»: no la supongan.</t>
        </is>
      </c>
    </row>
    <row r="20">
      <c r="B20" s="3" t="inlineStr">
        <is>
          <t>• «Fecha en que la probaron» es el día en que la descarga o la API respondió de verdad, no el día en que la IA la mencionó.</t>
        </is>
      </c>
    </row>
    <row r="21">
      <c r="B21" s="3" t="inlineStr">
        <is>
          <t>• Una fuente que la IA nombró y que ustedes no pudieron abrir va igual en Fuentes, con estado «No responde» o «No existe».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28" customWidth="1" min="2" max="2"/>
    <col width="22" customWidth="1" min="3" max="3"/>
    <col width="18" customWidth="1" min="4" max="4"/>
    <col width="36" customWidth="1" min="5" max="5"/>
    <col width="12" customWidth="1" min="6" max="6"/>
    <col width="18" customWidth="1" min="7" max="7"/>
    <col width="22" customWidth="1" min="8" max="8"/>
    <col width="18" customWidth="1" min="9" max="9"/>
    <col width="16" customWidth="1" min="10" max="10"/>
    <col width="14" customWidth="1" min="11" max="13"/>
    <col width="20" customWidth="1" min="14" max="14"/>
    <col width="26" customWidth="1" min="15" max="15"/>
    <col width="32" customWidth="1" min="16" max="16"/>
  </cols>
  <sheetData>
    <row r="1" ht="18" customHeight="1">
      <c r="A1" s="6" t="inlineStr">
        <is>
          <t>1. Catálogo de fuentes</t>
        </is>
      </c>
    </row>
    <row r="2">
      <c r="A2" s="7" t="inlineStr">
        <is>
          <t>Una fila por fuente encontrada. Escriban en las celdas amarillas; la fila gris es un ejemplo.</t>
        </is>
      </c>
    </row>
    <row r="3" ht="42" customHeight="1">
      <c r="A3" s="8" t="inlineStr">
        <is>
          <t>ID fuente</t>
        </is>
      </c>
      <c r="B3" s="8" t="inlineStr">
        <is>
          <t>Nombre del conjunto de datos</t>
        </is>
      </c>
      <c r="C3" s="8" t="inlineStr">
        <is>
          <t>Entidad que lo publica</t>
        </is>
      </c>
      <c r="D3" s="8" t="inlineStr">
        <is>
          <t>Tipo de publicador</t>
        </is>
      </c>
      <c r="E3" s="8" t="inlineStr">
        <is>
          <t>URL exacta (descarga o API)</t>
        </is>
      </c>
      <c r="F3" s="8" t="inlineStr">
        <is>
          <t>Formato</t>
        </is>
      </c>
      <c r="G3" s="8" t="inlineStr">
        <is>
          <t>Cómo se obtiene</t>
        </is>
      </c>
      <c r="H3" s="8" t="inlineStr">
        <is>
          <t>Licencia (tal como aparece)</t>
        </is>
      </c>
      <c r="I3" s="8" t="inlineStr">
        <is>
          <t>¿Trae datos de personas?</t>
        </is>
      </c>
      <c r="J3" s="8" t="inlineStr">
        <is>
          <t>Cobertura geográfica</t>
        </is>
      </c>
      <c r="K3" s="8" t="inlineStr">
        <is>
          <t>Periodo que cubre</t>
        </is>
      </c>
      <c r="L3" s="8" t="inlineStr">
        <is>
          <t>Frecuencia de actualización</t>
        </is>
      </c>
      <c r="M3" s="8" t="inlineStr">
        <is>
          <t>Fecha en que la probaron (AAAA-MM-DD)</t>
        </is>
      </c>
      <c r="N3" s="8" t="inlineStr">
        <is>
          <t>Estado</t>
        </is>
      </c>
      <c r="O3" s="8" t="inlineStr">
        <is>
          <t>Cómo la encontraron (IA o búsqueda)</t>
        </is>
      </c>
      <c r="P3" s="8" t="inlineStr">
        <is>
          <t>Observaciones</t>
        </is>
      </c>
    </row>
    <row r="4" ht="52" customHeight="1">
      <c r="A4" s="9" t="inlineStr">
        <is>
          <t>F01</t>
        </is>
      </c>
      <c r="B4" s="9" t="inlineStr">
        <is>
          <t>Vistas mensuales del artículo «Medellín» en Wikipedia</t>
        </is>
      </c>
      <c r="C4" s="9" t="inlineStr">
        <is>
          <t>Wikimedia Foundation</t>
        </is>
      </c>
      <c r="D4" s="9" t="inlineStr">
        <is>
          <t>Plataforma colaborativa</t>
        </is>
      </c>
      <c r="E4" s="9" t="inlineStr">
        <is>
          <t>https://wikimedia.org/api/rest_v1/metrics/pageviews/per-article/es.wikipedia/all-access/user/Medellín/monthly/20250101/20260831</t>
        </is>
      </c>
      <c r="F4" s="9" t="inlineStr">
        <is>
          <t>JSON</t>
        </is>
      </c>
      <c r="G4" s="9" t="inlineStr">
        <is>
          <t>API sin llave</t>
        </is>
      </c>
      <c r="H4" s="9" t="inlineStr">
        <is>
          <t>CC0</t>
        </is>
      </c>
      <c r="I4" s="9" t="inlineStr">
        <is>
          <t>No</t>
        </is>
      </c>
      <c r="J4" s="9" t="inlineStr">
        <is>
          <t>Ciudad (artículo)</t>
        </is>
      </c>
      <c r="K4" s="9" t="inlineStr">
        <is>
          <t>2025-01 a 2026-08</t>
        </is>
      </c>
      <c r="L4" s="9" t="inlineStr">
        <is>
          <t>Mensual</t>
        </is>
      </c>
      <c r="M4" s="9" t="inlineStr">
        <is>
          <t>2026-09-14</t>
        </is>
      </c>
      <c r="N4" s="9" t="inlineStr">
        <is>
          <t>Integrada al lago</t>
        </is>
      </c>
      <c r="O4" s="9" t="inlineStr">
        <is>
          <t>Se la pedimos a la IA como «fuente de interés público sobre la ciudad»; la probamos con curl</t>
        </is>
      </c>
      <c r="P4" s="9" t="inlineStr">
        <is>
          <t>Cuenta personas, no bots (agente «user»).</t>
        </is>
      </c>
    </row>
    <row r="5">
      <c r="A5" s="10" t="inlineStr">
        <is>
          <t>F01</t>
        </is>
      </c>
      <c r="B5" s="10" t="inlineStr">
        <is>
          <t>LAPD NIBRS Offenses Dataset</t>
        </is>
      </c>
      <c r="C5" s="10" t="inlineStr">
        <is>
          <t>Los Angeles Police Department (portal data.lacity.org)</t>
        </is>
      </c>
      <c r="D5" s="10" t="inlineStr">
        <is>
          <t>Entidad pública</t>
        </is>
      </c>
      <c r="E5" s="10" t="inlineStr">
        <is>
          <t>https://data.lacity.org/resource/k7nn-b2ep.json</t>
        </is>
      </c>
      <c r="F5" s="10" t="inlineStr">
        <is>
          <t>JSON</t>
        </is>
      </c>
      <c r="G5" s="10" t="inlineStr">
        <is>
          <t>API sin llave</t>
        </is>
      </c>
      <c r="H5" s="10" t="inlineStr">
        <is>
          <t>no declara</t>
        </is>
      </c>
      <c r="I5" s="10" t="inlineStr">
        <is>
          <t>Personas identificables</t>
        </is>
      </c>
      <c r="J5" s="10" t="inlineStr">
        <is>
          <t>Ciudad · 21 áreas de LAPD · ubicación por cuadra (hundred block)</t>
        </is>
      </c>
      <c r="K5" s="10" t="inlineStr">
        <is>
          <t>Hechos ingresados al RMS desde 2024-03-07; último hecho 2026-09-19</t>
        </is>
      </c>
      <c r="L5" s="10" t="inlineStr">
        <is>
          <t>No se sabe</t>
        </is>
      </c>
      <c r="M5" s="10" t="inlineStr">
        <is>
          <t>2026-10-05</t>
        </is>
      </c>
      <c r="N5" s="10" t="inlineStr">
        <is>
          <t>Integrada al lago</t>
        </is>
      </c>
      <c r="O5" s="10" t="inlineStr">
        <is>
          <t>Catálogo del propio portal (API de metadatos), buscando el reemplazo de F02</t>
        </is>
      </c>
      <c r="P5" s="10" t="inlineStr">
        <is>
          <t>Una fila por ofensa, no por incidente. Trae dirección por cuadra, hora y marcas de violencia doméstica: al lago solo llegan conteos por área y por mes. Última carga del portal: 2026-09-29. Carga con rezago: septiembre llevaba 10.097 ofensas (un mes normal ronda 18.000), por eso la ventana termina en el último mes completo. Los metadatos no traen licencia (F02 y F03, del mismo portal, sí declaran CC0).</t>
        </is>
      </c>
    </row>
    <row r="6">
      <c r="A6" s="10" t="inlineStr">
        <is>
          <t>F02</t>
        </is>
      </c>
      <c r="B6" s="10" t="inlineStr">
        <is>
          <t>Crime Data from 2020 to 2024</t>
        </is>
      </c>
      <c r="C6" s="10" t="inlineStr">
        <is>
          <t>Los Angeles Police Department (portal data.lacity.org)</t>
        </is>
      </c>
      <c r="D6" s="10" t="inlineStr">
        <is>
          <t>Entidad pública</t>
        </is>
      </c>
      <c r="E6" s="10" t="inlineStr">
        <is>
          <t>https://data.lacity.org/resource/2nrs-mtv8.json</t>
        </is>
      </c>
      <c r="F6" s="10" t="inlineStr">
        <is>
          <t>JSON</t>
        </is>
      </c>
      <c r="G6" s="10" t="inlineStr">
        <is>
          <t>API sin llave</t>
        </is>
      </c>
      <c r="H6" s="10" t="inlineStr">
        <is>
          <t>Creative Commons 1.0 Universal (Public Domain Dedication)</t>
        </is>
      </c>
      <c r="I6" s="10" t="inlineStr">
        <is>
          <t>Personas identificables</t>
        </is>
      </c>
      <c r="J6" s="10" t="inlineStr">
        <is>
          <t>Ciudad · 21 áreas de LAPD · latitud y longitud</t>
        </is>
      </c>
      <c r="K6" s="10" t="inlineStr">
        <is>
          <t>2020-01-01 a 2025-03-28 (fecha de reporte)</t>
        </is>
      </c>
      <c r="L6" s="10" t="inlineStr">
        <is>
          <t>Única vez</t>
        </is>
      </c>
      <c r="M6" s="10" t="inlineStr">
        <is>
          <t>2026-10-05</t>
        </is>
      </c>
      <c r="N6" s="10" t="inlineStr">
        <is>
          <t>Descartada</t>
        </is>
      </c>
      <c r="O6" s="10" t="inlineStr">
        <is>
          <t>Se la pedimos a la IA (Claude) en la primera búsqueda</t>
        </is>
      </c>
      <c r="P6" s="10" t="inlineStr">
        <is>
          <t>Congelada: LAPD cambió a NIBRS el 2024-03-07 y el último reporte es del 2025-03-28. Además trae edad, sexo y ascendencia de cada víctima. La reemplaza F01.</t>
        </is>
      </c>
    </row>
    <row r="7">
      <c r="A7" s="10" t="inlineStr">
        <is>
          <t>F03</t>
        </is>
      </c>
      <c r="B7" s="10" t="inlineStr">
        <is>
          <t>MyLA311 Cases 2026</t>
        </is>
      </c>
      <c r="C7" s="10" t="inlineStr">
        <is>
          <t>City of Los Angeles · Information Technology Agency</t>
        </is>
      </c>
      <c r="D7" s="10" t="inlineStr">
        <is>
          <t>Entidad pública</t>
        </is>
      </c>
      <c r="E7" s="10" t="inlineStr">
        <is>
          <t>https://data.lacity.org/resource/2cy6-i7zn.json</t>
        </is>
      </c>
      <c r="F7" s="10" t="inlineStr">
        <is>
          <t>JSON</t>
        </is>
      </c>
      <c r="G7" s="10" t="inlineStr">
        <is>
          <t>API sin llave</t>
        </is>
      </c>
      <c r="H7" s="10" t="inlineStr">
        <is>
          <t>Creative Commons 1.0 Universal (Public Domain Dedication)</t>
        </is>
      </c>
      <c r="I7" s="10" t="inlineStr">
        <is>
          <t>Personas identificables</t>
        </is>
      </c>
      <c r="J7" s="10" t="inlineStr">
        <is>
          <t>Ciudad · dirección exacta, latitud y longitud, distrito de consejo, concejo vecinal</t>
        </is>
      </c>
      <c r="K7" s="10" t="inlineStr">
        <is>
          <t>2026-01-01 a 2026-10-05</t>
        </is>
      </c>
      <c r="L7" s="10" t="inlineStr">
        <is>
          <t>Diaria</t>
        </is>
      </c>
      <c r="M7" s="10" t="inlineStr">
        <is>
          <t>2026-10-05</t>
        </is>
      </c>
      <c r="N7" s="10" t="inlineStr">
        <is>
          <t>Integrada al lago</t>
        </is>
      </c>
      <c r="O7" s="10" t="inlineStr">
        <is>
          <t>Se la pedimos a la IA (Claude); la comprobamos en el portal</t>
        </is>
      </c>
      <c r="P7" s="10" t="inlineStr">
        <is>
          <t>No trae nombres, pero sí la dirección exacta de cada solicitud (una recogida de enseres casi siempre es la casa de quien llama): al lago solo llegan conteos. Hay un conjunto por año: en 2027 cambia el ID. 133.436 solicitudes de 2026 (7,4 %) no traen distrito.</t>
        </is>
      </c>
    </row>
    <row r="8">
      <c r="A8" s="10" t="inlineStr">
        <is>
          <t>F04</t>
        </is>
      </c>
      <c r="B8" s="10" t="inlineStr">
        <is>
          <t>Building and Safety - Building Permits Issued from 2020 to Present (N)</t>
        </is>
      </c>
      <c r="C8" s="10" t="inlineStr">
        <is>
          <t>Los Angeles Department of Building and Safety (LADBS)</t>
        </is>
      </c>
      <c r="D8" s="10" t="inlineStr">
        <is>
          <t>Entidad pública</t>
        </is>
      </c>
      <c r="E8" s="10" t="inlineStr">
        <is>
          <t>https://data.lacity.org/resource/pi9x-tg5x.json</t>
        </is>
      </c>
      <c r="F8" s="10" t="inlineStr">
        <is>
          <t>JSON</t>
        </is>
      </c>
      <c r="G8" s="10" t="inlineStr">
        <is>
          <t>API sin llave</t>
        </is>
      </c>
      <c r="H8" s="10" t="inlineStr">
        <is>
          <t>no declara</t>
        </is>
      </c>
      <c r="I8" s="10" t="inlineStr">
        <is>
          <t>Personas identificables</t>
        </is>
      </c>
      <c r="J8" s="10" t="inlineStr">
        <is>
          <t>Ciudad · dirección, número de predio (APN), distrito de consejo, latitud y longitud</t>
        </is>
      </c>
      <c r="K8" s="10" t="inlineStr">
        <is>
          <t>2020-01-01 a 2026-10-03</t>
        </is>
      </c>
      <c r="L8" s="10" t="inlineStr">
        <is>
          <t>Diaria</t>
        </is>
      </c>
      <c r="M8" s="10" t="inlineStr">
        <is>
          <t>2026-10-05</t>
        </is>
      </c>
      <c r="N8" s="10" t="inlineStr">
        <is>
          <t>Integrada al lago</t>
        </is>
      </c>
      <c r="O8" s="10" t="inlineStr">
        <is>
          <t>Catálogo del propio portal, buscando el reemplazo de F05</t>
        </is>
      </c>
      <c r="P8" s="10" t="inlineStr">
        <is>
          <t>El APN se cruza con el registro de propietarios del condado: al lago solo llegan conteos. Los campos du_changed (cambio en unidades de vivienda) y valuation llegan como texto.</t>
        </is>
      </c>
    </row>
    <row r="9">
      <c r="A9" s="10" t="inlineStr">
        <is>
          <t>F05</t>
        </is>
      </c>
      <c r="B9" s="10" t="inlineStr">
        <is>
          <t>LADBS-Permits (vista filtrada)</t>
        </is>
      </c>
      <c r="C9" s="10" t="inlineStr">
        <is>
          <t>LADBS (portal data.lacity.org)</t>
        </is>
      </c>
      <c r="D9" s="10" t="inlineStr">
        <is>
          <t>Entidad pública</t>
        </is>
      </c>
      <c r="E9" s="10" t="inlineStr">
        <is>
          <t>https://data.lacity.org/resource/hbkd-qubn.json</t>
        </is>
      </c>
      <c r="F9" s="10" t="inlineStr">
        <is>
          <t>JSON</t>
        </is>
      </c>
      <c r="G9" s="10" t="inlineStr">
        <is>
          <t>API sin llave</t>
        </is>
      </c>
      <c r="H9" s="10" t="inlineStr">
        <is>
          <t>Creative Commons Attribution 4.0 International</t>
        </is>
      </c>
      <c r="I9" s="10" t="inlineStr">
        <is>
          <t>Personas identificables</t>
        </is>
      </c>
      <c r="J9" s="10" t="inlineStr">
        <is>
          <t>Ciudad</t>
        </is>
      </c>
      <c r="K9" s="10" t="inlineStr">
        <is>
          <t>2013-01-01 a 2023-05-19</t>
        </is>
      </c>
      <c r="L9" s="10" t="inlineStr">
        <is>
          <t>Única vez</t>
        </is>
      </c>
      <c r="M9" s="10" t="inlineStr">
        <is>
          <t>2026-10-05</t>
        </is>
      </c>
      <c r="N9" s="10" t="inlineStr">
        <is>
          <t>Descartada</t>
        </is>
      </c>
      <c r="O9" s="10" t="inlineStr">
        <is>
          <t>Se la pedimos a la IA (Claude)</t>
        </is>
      </c>
      <c r="P9" s="10" t="inlineStr">
        <is>
          <t>Vista congelada en mayo de 2023 y con nombre y apellido de solicitantes y contratistas. La reemplaza F04.</t>
        </is>
      </c>
    </row>
    <row r="10">
      <c r="A10" s="10" t="inlineStr">
        <is>
          <t>F06</t>
        </is>
      </c>
      <c r="B10" s="10" t="inlineStr">
        <is>
          <t>E-1 Population and Housing Estimates for Cities, Counties, and the State (2026)</t>
        </is>
      </c>
      <c r="C10" s="10" t="inlineStr">
        <is>
          <t>California Department of Finance · Demographic Research Unit</t>
        </is>
      </c>
      <c r="D10" s="10" t="inlineStr">
        <is>
          <t>Entidad pública</t>
        </is>
      </c>
      <c r="E10" s="10" t="inlineStr">
        <is>
          <t>https://dof.ca.gov/media/docs/forecasting/Demographics/estimates-e1/E-1_2026_InternetVersion.xlsx</t>
        </is>
      </c>
      <c r="F10" s="10" t="inlineStr">
        <is>
          <t>XLSX</t>
        </is>
      </c>
      <c r="G10" s="10" t="inlineStr">
        <is>
          <t>Descarga directa</t>
        </is>
      </c>
      <c r="H10" s="10" t="inlineStr">
        <is>
          <t>no declara</t>
        </is>
      </c>
      <c r="I10" s="10" t="inlineStr">
        <is>
          <t>No</t>
        </is>
      </c>
      <c r="J10" s="10" t="inlineStr">
        <is>
          <t>Estado, condados y ciudades de California</t>
        </is>
      </c>
      <c r="K10" s="10" t="inlineStr">
        <is>
          <t>Estimaciones al 2025-01-01 y al 2026-01-01</t>
        </is>
      </c>
      <c r="L10" s="10" t="inlineStr">
        <is>
          <t>Anual</t>
        </is>
      </c>
      <c r="M10" s="10" t="inlineStr">
        <is>
          <t>2026-10-05</t>
        </is>
      </c>
      <c r="N10" s="10" t="inlineStr">
        <is>
          <t>Integrada al lago</t>
        </is>
      </c>
      <c r="O10" s="10" t="inlineStr">
        <is>
          <t>Búsqueda propia de una fuente sin llave, porque F07 la pide</t>
        </is>
      </c>
      <c r="P10" s="10" t="inlineStr">
        <is>
          <t>Publicado el 2026-05-01. Trae dos filas «Los Angeles»: el condado (9.837.286) y la ciudad (3.806.201). El script exige que sean dos y toma la ciudad; la verificación comprueba el rango.</t>
        </is>
      </c>
    </row>
    <row r="11">
      <c r="A11" s="10" t="inlineStr">
        <is>
          <t>F07</t>
        </is>
      </c>
      <c r="B11" s="10" t="inlineStr">
        <is>
          <t>American Community Survey 5-Year Estimates (API)</t>
        </is>
      </c>
      <c r="C11" s="10" t="inlineStr">
        <is>
          <t>U.S. Census Bureau</t>
        </is>
      </c>
      <c r="D11" s="10" t="inlineStr">
        <is>
          <t>Entidad pública</t>
        </is>
      </c>
      <c r="E11" s="10" t="inlineStr">
        <is>
          <t>https://api.census.gov/data/2024/acs/acs5?get=NAME,B13016_001E,B13016_002E&amp;for=place:44000&amp;in=state:06</t>
        </is>
      </c>
      <c r="F11" s="10" t="inlineStr">
        <is>
          <t>JSON</t>
        </is>
      </c>
      <c r="G11" s="10" t="inlineStr">
        <is>
          <t>API con llave gratuita</t>
        </is>
      </c>
      <c r="H11" s="10" t="inlineStr">
        <is>
          <t>Census Bureau API Terms of Service (census.gov/data/developers/about/terms-of-service.html): "You may use the Census Bureau API to develop a service or service to search, display, analyze, retrieve, view and otherwise "get" information from Census Bureau data." Atribución exigida: "This product uses the Census Bureau Data API but is not endorsed or certified by the Census Bureau."</t>
        </is>
      </c>
      <c r="I11" s="10" t="inlineStr">
        <is>
          <t>No</t>
        </is>
      </c>
      <c r="J11" s="10" t="inlineStr">
        <is>
          <t>Ciudad (place 06-44000), California, EE. UU. y sectores censales del condado de Los Ángeles</t>
        </is>
      </c>
      <c r="K11" s="10" t="inlineStr">
        <is>
          <t>ACS 2020-2024 (serie desde 2006-2010)</t>
        </is>
      </c>
      <c r="L11" s="10" t="inlineStr">
        <is>
          <t>Anual</t>
        </is>
      </c>
      <c r="M11" s="10" t="inlineStr">
        <is>
          <t>2026-10-06</t>
        </is>
      </c>
      <c r="N11" s="10" t="inlineStr">
        <is>
          <t>Integrada al lago</t>
        </is>
      </c>
      <c r="O11" s="10" t="inlineStr">
        <is>
          <t>Se la pedimos a la IA (Claude); la probamos con la llave gratuita</t>
        </is>
      </c>
      <c r="P11" s="10" t="inlineStr">
        <is>
          <t>Probada el 2026-10-06 con la llave gratuita (en .env, no en el repositorio). Último lanzamiento: ACS 2020-2024; responden los lanzamientos 2010 a 2024 (2009 da 400; 2025 y 2026 dan 404). B13016_001E = mujeres de 15 a 50 años y B13016_002E = las que tuvieron un nacimiento en los últimos 12 meses. Población por distrito: B01003_001E por sector censal del condado 037 (2.498 sectores) y puntos internos del Gazetteer del Censo (www2.census.gov/geo/docs/maps-data/data/gazetteer/2020_Gazetteer/2020_gaz_tracts_06.txt, 200 OK), asignados a distritos con los límites completos de F12; suma 0,23 % por debajo de la ciudad en el ACS. Son estimaciones con margen de error. Los términos exigen mostrar «This product uses the Census Bureau Data API but is not endorsed or certified by the Census Bureau.»; las tasas por 1.000 mujeres y por 10.000 habitantes las calculamos nosotros.</t>
        </is>
      </c>
    </row>
    <row r="12">
      <c r="A12" s="10" t="inlineStr">
        <is>
          <t>F08</t>
        </is>
      </c>
      <c r="B12" s="10" t="inlineStr">
        <is>
          <t>Census Data by Council District</t>
        </is>
      </c>
      <c r="C12" s="10" t="inlineStr">
        <is>
          <t>City of Los Angeles (portal data.lacity.org)</t>
        </is>
      </c>
      <c r="D12" s="10" t="inlineStr">
        <is>
          <t>Entidad pública</t>
        </is>
      </c>
      <c r="E12" s="10" t="inlineStr">
        <is>
          <t>https://data.lacity.org/resource/ucyn-ru6w.json</t>
        </is>
      </c>
      <c r="F12" s="10" t="inlineStr">
        <is>
          <t>JSON</t>
        </is>
      </c>
      <c r="G12" s="10" t="inlineStr">
        <is>
          <t>API sin llave</t>
        </is>
      </c>
      <c r="H12" s="10" t="inlineStr">
        <is>
          <t>Creative Commons 1.0 Universal (Public Domain Dedication)</t>
        </is>
      </c>
      <c r="I12" s="10" t="inlineStr">
        <is>
          <t>Solo conteos por zona</t>
        </is>
      </c>
      <c r="J12" s="10" t="inlineStr">
        <is>
          <t>15 distritos de consejo (límites anteriores a 2021)</t>
        </is>
      </c>
      <c r="K12" s="10" t="inlineStr">
        <is>
          <t>Censo 2010</t>
        </is>
      </c>
      <c r="L12" s="10" t="inlineStr">
        <is>
          <t>Única vez</t>
        </is>
      </c>
      <c r="M12" s="10" t="inlineStr">
        <is>
          <t>2026-10-05</t>
        </is>
      </c>
      <c r="N12" s="10" t="inlineStr">
        <is>
          <t>Descartada</t>
        </is>
      </c>
      <c r="O12" s="10" t="inlineStr">
        <is>
          <t>Catálogo del propio portal</t>
        </is>
      </c>
      <c r="P12" s="10" t="inlineStr">
        <is>
          <t>Es el censo de 2010 sobre los distritos viejos (última carga: 2017). No sirve para comparar hoy, y por eso el lago no tiene población por distrito.</t>
        </is>
      </c>
    </row>
    <row r="13">
      <c r="A13" s="10" t="inlineStr">
        <is>
          <t>F09</t>
        </is>
      </c>
      <c r="B13" s="10" t="inlineStr">
        <is>
          <t>Metro Bike Share · GBFS station_status</t>
        </is>
      </c>
      <c r="C13" s="10" t="inlineStr">
        <is>
          <t>Los Angeles County Metropolitan Transportation Authority (Metro), operado con BCycle</t>
        </is>
      </c>
      <c r="D13" s="10" t="inlineStr">
        <is>
          <t>Entidad pública</t>
        </is>
      </c>
      <c r="E13" s="10" t="inlineStr">
        <is>
          <t>https://gbfs.bcycle.com/bcycle_lametro/station_status.json</t>
        </is>
      </c>
      <c r="F13" s="10" t="inlineStr">
        <is>
          <t>JSON</t>
        </is>
      </c>
      <c r="G13" s="10" t="inlineStr">
        <is>
          <t>API sin llave</t>
        </is>
      </c>
      <c r="H13" s="10" t="inlineStr">
        <is>
          <t>no declara</t>
        </is>
      </c>
      <c r="I13" s="10" t="inlineStr">
        <is>
          <t>No</t>
        </is>
      </c>
      <c r="J13" s="10" t="inlineStr">
        <is>
          <t>224 estaciones en las regiones City of LA, Westside y Hollywood</t>
        </is>
      </c>
      <c r="K13" s="10" t="inlineStr">
        <is>
          <t>Foto del momento (last_updated)</t>
        </is>
      </c>
      <c r="L13" s="10" t="inlineStr">
        <is>
          <t>Tiempo real</t>
        </is>
      </c>
      <c r="M13" s="10" t="inlineStr">
        <is>
          <t>2026-10-05</t>
        </is>
      </c>
      <c r="N13" s="10" t="inlineStr">
        <is>
          <t>Integrada al lago</t>
        </is>
      </c>
      <c r="O13" s="10" t="inlineStr">
        <is>
          <t>Se la pedimos a la IA, que dio una URL equivocada; la correcta salió de bikeshare.metro.net/about/data</t>
        </is>
      </c>
      <c r="P13" s="10" t="inlineStr">
        <is>
          <t>El feed se renueva cada 60 s. Las regiones del sistema no son los límites de la ciudad. La página de datos de Metro no publica una licencia.</t>
        </is>
      </c>
    </row>
    <row r="14">
      <c r="A14" s="10" t="inlineStr">
        <is>
          <t>F10</t>
        </is>
      </c>
      <c r="B14" s="10" t="inlineStr">
        <is>
          <t>OpenStreetMap vía Overpass API</t>
        </is>
      </c>
      <c r="C14" s="10" t="inlineStr">
        <is>
          <t>Colaboradores de OpenStreetMap</t>
        </is>
      </c>
      <c r="D14" s="10" t="inlineStr">
        <is>
          <t>Plataforma colaborativa</t>
        </is>
      </c>
      <c r="E14" s="10" t="inlineStr">
        <is>
          <t>https://overpass-api.de/api/interpreter</t>
        </is>
      </c>
      <c r="F14" s="10" t="inlineStr">
        <is>
          <t>JSON</t>
        </is>
      </c>
      <c r="G14" s="10" t="inlineStr">
        <is>
          <t>API sin llave</t>
        </is>
      </c>
      <c r="H14" s="10" t="inlineStr">
        <is>
          <t>ODbL</t>
        </is>
      </c>
      <c r="I14" s="10" t="inlineStr">
        <is>
          <t>No</t>
        </is>
      </c>
      <c r="J14" s="10" t="inlineStr">
        <is>
          <t>Límite administrativo de la ciudad (relación OSM 207359)</t>
        </is>
      </c>
      <c r="K14" s="10" t="inlineStr">
        <is>
          <t>Estado actual del mapa</t>
        </is>
      </c>
      <c r="L14" s="10" t="inlineStr">
        <is>
          <t>Tiempo real</t>
        </is>
      </c>
      <c r="M14" s="10" t="inlineStr">
        <is>
          <t>2026-10-05</t>
        </is>
      </c>
      <c r="N14" s="10" t="inlineStr">
        <is>
          <t>Integrada al lago</t>
        </is>
      </c>
      <c r="O14" s="10" t="inlineStr">
        <is>
          <t>Se la pedimos a la IA; la primera prueba (2026-09-27) no llegó al servidor y desde el 2026-09-28 responde</t>
        </is>
      </c>
      <c r="P14" s="10" t="inlineStr">
        <is>
          <t>ODbL obliga a atribuir y a compartir igual lo derivado. Cobertura voluntaria: complementa, no reemplaza, los registros oficiales. La etiqueta population de OSM (4.030.904) no coincide con F06 y no se usa.</t>
        </is>
      </c>
    </row>
    <row r="15">
      <c r="A15" s="10" t="inlineStr">
        <is>
          <t>F11</t>
        </is>
      </c>
      <c r="B15" s="10" t="inlineStr">
        <is>
          <t>Vistas mensuales del artículo «Los Ángeles» en Wikipedia en español</t>
        </is>
      </c>
      <c r="C15" s="10" t="inlineStr">
        <is>
          <t>Wikimedia Foundation</t>
        </is>
      </c>
      <c r="D15" s="10" t="inlineStr">
        <is>
          <t>Plataforma colaborativa</t>
        </is>
      </c>
      <c r="E15" s="10" t="inlineStr">
        <is>
          <t>https://wikimedia.org/api/rest_v1/metrics/pageviews/per-article/es.wikipedia/all-access/user/Los_%C3%81ngeles/monthly/20250201/20260930</t>
        </is>
      </c>
      <c r="F15" s="10" t="inlineStr">
        <is>
          <t>JSON</t>
        </is>
      </c>
      <c r="G15" s="10" t="inlineStr">
        <is>
          <t>API sin llave</t>
        </is>
      </c>
      <c r="H15" s="10" t="inlineStr">
        <is>
          <t>CC0</t>
        </is>
      </c>
      <c r="I15" s="10" t="inlineStr">
        <is>
          <t>No</t>
        </is>
      </c>
      <c r="J15" s="10" t="inlineStr">
        <is>
          <t>Ciudad (artículo)</t>
        </is>
      </c>
      <c r="K15" s="10" t="inlineStr">
        <is>
          <t>2025-02 a 2026-09</t>
        </is>
      </c>
      <c r="L15" s="10" t="inlineStr">
        <is>
          <t>Mensual</t>
        </is>
      </c>
      <c r="M15" s="10" t="inlineStr">
        <is>
          <t>2026-10-05</t>
        </is>
      </c>
      <c r="N15" s="10" t="inlineStr">
        <is>
          <t>Integrada al lago</t>
        </is>
      </c>
      <c r="O15" s="10" t="inlineStr">
        <is>
          <t>Es el script base del taller, con la ciudad cambiada</t>
        </is>
      </c>
      <c r="P15" s="10" t="inlineStr">
        <is>
          <t>Se comprobó que «Los Ángeles» es un artículo y no una desambiguación. Cuenta personas, no bots. El mes más alto de la serie es junio de 2025 (34.980).</t>
        </is>
      </c>
    </row>
    <row r="16">
      <c r="A16" s="10" t="inlineStr">
        <is>
          <t>F12</t>
        </is>
      </c>
      <c r="B16" s="10" t="inlineStr">
        <is>
          <t>LA City Council Districts (Adopted 2021)</t>
        </is>
      </c>
      <c r="C16" s="10" t="inlineStr">
        <is>
          <t>City of Los Angeles · LA GeoHub (Bureau of Engineering)</t>
        </is>
      </c>
      <c r="D16" s="10" t="inlineStr">
        <is>
          <t>Entidad pública</t>
        </is>
      </c>
      <c r="E16" s="10" t="inlineStr">
        <is>
          <t>https://maps.lacity.org/lahub/rest/services/Boundaries/MapServer/13</t>
        </is>
      </c>
      <c r="F16" s="10" t="inlineStr">
        <is>
          <t>GeoJSON</t>
        </is>
      </c>
      <c r="G16" s="10" t="inlineStr">
        <is>
          <t>API sin llave</t>
        </is>
      </c>
      <c r="H16" s="10" t="inlineStr">
        <is>
          <t>no declara</t>
        </is>
      </c>
      <c r="I16" s="10" t="inlineStr">
        <is>
          <t>No</t>
        </is>
      </c>
      <c r="J16" s="10" t="inlineStr">
        <is>
          <t>Los 15 distritos de consejo</t>
        </is>
      </c>
      <c r="K16" s="10" t="inlineStr">
        <is>
          <t>Límites adoptados en 2021</t>
        </is>
      </c>
      <c r="L16" s="10" t="inlineStr">
        <is>
          <t>No se sabe</t>
        </is>
      </c>
      <c r="M16" s="10" t="inlineStr">
        <is>
          <t>2026-10-05</t>
        </is>
      </c>
      <c r="N16" s="10" t="inlineStr">
        <is>
          <t>Integrada al lago</t>
        </is>
      </c>
      <c r="O16" s="10" t="inlineStr">
        <is>
          <t>Búsqueda web en LA GeoHub, después de descartar F16</t>
        </is>
      </c>
      <c r="P16" s="10" t="inlineStr">
        <is>
          <t>El hub marca la licencia como «none». El campo NAME es el nombre del concejal (cargo público). Se simplifica a ~300 m y 4 decimales: 15,6 KB.</t>
        </is>
      </c>
    </row>
    <row r="17">
      <c r="A17" s="10" t="inlineStr">
        <is>
          <t>F13</t>
        </is>
      </c>
      <c r="B17" s="10" t="inlineStr">
        <is>
          <t>AirNow API</t>
        </is>
      </c>
      <c r="C17" s="10" t="inlineStr">
        <is>
          <t>U.S. Environmental Protection Agency (AirNow)</t>
        </is>
      </c>
      <c r="D17" s="10" t="inlineStr">
        <is>
          <t>Entidad pública</t>
        </is>
      </c>
      <c r="E17" s="10" t="inlineStr">
        <is>
          <t>https://docs.airnowapi.org/</t>
        </is>
      </c>
      <c r="F17" s="10" t="inlineStr">
        <is>
          <t>JSON</t>
        </is>
      </c>
      <c r="G17" s="10" t="inlineStr">
        <is>
          <t>API con llave gratuita</t>
        </is>
      </c>
      <c r="H17" s="10" t="inlineStr">
        <is>
          <t>«should not be used to formulate or support regulation, trends, guidance, or any other government or public decision making»</t>
        </is>
      </c>
      <c r="I17" s="10" t="inlineStr">
        <is>
          <t>No</t>
        </is>
      </c>
      <c r="J17" s="10" t="inlineStr">
        <is>
          <t>Estaciones de monitoreo de EE. UU., Canadá y México</t>
        </is>
      </c>
      <c r="K17" s="10" t="inlineStr">
        <is>
          <t>Tiempo real y pronósticos</t>
        </is>
      </c>
      <c r="L17" s="10" t="inlineStr">
        <is>
          <t>Tiempo real</t>
        </is>
      </c>
      <c r="M17" s="10" t="inlineStr">
        <is>
          <t>2026-10-05</t>
        </is>
      </c>
      <c r="N17" s="10" t="inlineStr">
        <is>
          <t>Descartada</t>
        </is>
      </c>
      <c r="O17" s="10" t="inlineStr">
        <is>
          <t>Se la pedimos a la IA (Claude)</t>
        </is>
      </c>
      <c r="P17" s="10" t="inlineStr">
        <is>
          <t>Pide cuenta, y sus propios términos dicen que los datos son preliminares y no deben usarse para decisiones públicas: justo lo que haría un concejal con este sistema.</t>
        </is>
      </c>
    </row>
    <row r="18">
      <c r="A18" s="10" t="inlineStr">
        <is>
          <t>F14</t>
        </is>
      </c>
      <c r="B18" s="10" t="inlineStr">
        <is>
          <t>Google News RSS · búsqueda «Los Angeles»</t>
        </is>
      </c>
      <c r="C18" s="10" t="inlineStr">
        <is>
          <t>Google</t>
        </is>
      </c>
      <c r="D18" s="10" t="inlineStr">
        <is>
          <t>Empresa privada</t>
        </is>
      </c>
      <c r="E18" s="10" t="inlineStr">
        <is>
          <t>https://news.google.com/rss/search?q=Los+Angeles&amp;hl=en-US&amp;gl=US&amp;ceid=US:en</t>
        </is>
      </c>
      <c r="F18" s="10" t="inlineStr">
        <is>
          <t>Otro</t>
        </is>
      </c>
      <c r="G18" s="10" t="inlineStr">
        <is>
          <t>Bloquea scripts o pide sesión</t>
        </is>
      </c>
      <c r="H18" s="10" t="inlineStr">
        <is>
          <t>no declara</t>
        </is>
      </c>
      <c r="I18" s="10" t="inlineStr">
        <is>
          <t>Texto libre sin revisar</t>
        </is>
      </c>
      <c r="J18" s="10" t="inlineStr">
        <is>
          <t>Titulares en inglés</t>
        </is>
      </c>
      <c r="K18" s="10" t="inlineStr">
        <is>
          <t>Tiempo real</t>
        </is>
      </c>
      <c r="L18" s="10" t="inlineStr">
        <is>
          <t>Tiempo real</t>
        </is>
      </c>
      <c r="M18" s="10" t="n"/>
      <c r="N18" s="10" t="inlineStr">
        <is>
          <t>Descartada</t>
        </is>
      </c>
      <c r="O18" s="10" t="inlineStr">
        <is>
          <t>Se la pedimos a la IA, siguiendo el ejemplo de Lima</t>
        </is>
      </c>
      <c r="P18" s="10" t="inlineStr">
        <is>
          <t>Intento del 2026-09-27: el acceso automatizado fue rechazado por robots.txt. No se esquiva: la «escucha» se hace con F11.</t>
        </is>
      </c>
    </row>
    <row r="19">
      <c r="A19" s="10" t="inlineStr">
        <is>
          <t>F15</t>
        </is>
      </c>
      <c r="B19" s="10" t="inlineStr">
        <is>
          <t>«Transport for Los Angeles API» (api.metro.net/bus/stops)</t>
        </is>
      </c>
      <c r="C19" s="10" t="inlineStr">
        <is>
          <t>Ficha de publicapi.dev atribuida a Metro</t>
        </is>
      </c>
      <c r="D19" s="10" t="inlineStr">
        <is>
          <t>No se sabe</t>
        </is>
      </c>
      <c r="E19" s="10" t="inlineStr">
        <is>
          <t>https://api.metro.net/bus/stops</t>
        </is>
      </c>
      <c r="F19" s="10" t="inlineStr">
        <is>
          <t>JSON</t>
        </is>
      </c>
      <c r="G19" s="10" t="inlineStr">
        <is>
          <t>API sin llave</t>
        </is>
      </c>
      <c r="H19" s="10" t="inlineStr">
        <is>
          <t>no declara</t>
        </is>
      </c>
      <c r="I19" s="10" t="inlineStr">
        <is>
          <t>No</t>
        </is>
      </c>
      <c r="J19" s="10" t="n"/>
      <c r="K19" s="10" t="n"/>
      <c r="L19" s="10" t="inlineStr">
        <is>
          <t>No se sabe</t>
        </is>
      </c>
      <c r="M19" s="10" t="n"/>
      <c r="N19" s="10" t="inlineStr">
        <is>
          <t>No existe (la inventó la IA)</t>
        </is>
      </c>
      <c r="O19" s="10" t="inlineStr">
        <is>
          <t>Apareció en la búsqueda web de la IA, en una ficha de publicapi.dev</t>
        </is>
      </c>
      <c r="P19" s="10" t="inlineStr">
        <is>
          <t>Intentos del 2026-09-28 y del 2026-10-05: 404. La ficha parece escrita por un generador automático: describe rutas que Metro no publica. Los datos reales de Metro están en developer.metro.net.</t>
        </is>
      </c>
    </row>
    <row r="20">
      <c r="A20" s="10" t="inlineStr">
        <is>
          <t>F16</t>
        </is>
      </c>
      <c r="B20" s="10" t="inlineStr">
        <is>
          <t>«City Council Districts» (872g-cjhh)</t>
        </is>
      </c>
      <c r="C20" s="10" t="inlineStr">
        <is>
          <t>Otro portal Socrata, no el de Los Ángeles</t>
        </is>
      </c>
      <c r="D20" s="10" t="inlineStr">
        <is>
          <t>No se sabe</t>
        </is>
      </c>
      <c r="E20" s="10" t="inlineStr">
        <is>
          <t>https://data.lacity.org/resource/872g-cjhh.geojson</t>
        </is>
      </c>
      <c r="F20" s="10" t="inlineStr">
        <is>
          <t>GeoJSON</t>
        </is>
      </c>
      <c r="G20" s="10" t="inlineStr">
        <is>
          <t>API sin llave</t>
        </is>
      </c>
      <c r="H20" s="10" t="inlineStr">
        <is>
          <t>no declara</t>
        </is>
      </c>
      <c r="I20" s="10" t="inlineStr">
        <is>
          <t>No</t>
        </is>
      </c>
      <c r="J20" s="10" t="n"/>
      <c r="K20" s="10" t="n"/>
      <c r="L20" s="10" t="inlineStr">
        <is>
          <t>No se sabe</t>
        </is>
      </c>
      <c r="M20" s="10" t="n"/>
      <c r="N20" s="10" t="inlineStr">
        <is>
          <t>Descartada</t>
        </is>
      </c>
      <c r="O20" s="10" t="inlineStr">
        <is>
          <t>Lo propuso la IA, tomado del catálogo federado de Socrata sin filtrar por dominio</t>
        </is>
      </c>
      <c r="P20" s="10" t="inlineStr">
        <is>
          <t>Intentos del 2026-09-28 y del 2026-10-05: 404 en data.lacity.org. El catálogo mezcla portales de varias ciudades: un título que coincide no es la cosa. Los límites reales salen de F12.</t>
        </is>
      </c>
    </row>
    <row r="21">
      <c r="A21" s="10" t="inlineStr">
        <is>
          <t xml:space="preserve">F18</t>
        </is>
      </c>
      <c r="B21" s="10" t="inlineStr">
        <is>
          <t xml:space="preserve">LAPD Divisions</t>
        </is>
      </c>
      <c r="C21" s="10" t="inlineStr">
        <is>
          <t xml:space="preserve">City of Los Angeles · LA GeoHub (LAPD GIS Mapping)</t>
        </is>
      </c>
      <c r="D21" s="10" t="inlineStr">
        <is>
          <t xml:space="preserve">Entidad pública</t>
        </is>
      </c>
      <c r="E21" s="10" t="inlineStr">
        <is>
          <t xml:space="preserve">https://services5.arcgis.com/7nsPwEMP38bSkCjy/arcgis/rest/services/LAPD_Division/FeatureServer/0</t>
        </is>
      </c>
      <c r="F21" s="10" t="inlineStr">
        <is>
          <t xml:space="preserve">GeoJSON</t>
        </is>
      </c>
      <c r="G21" s="10" t="inlineStr">
        <is>
          <t xml:space="preserve">API sin llave</t>
        </is>
      </c>
      <c r="H21" s="10" t="inlineStr">
        <is>
          <t xml:space="preserve">This work is licensed under a Creative Commons Attribution 4.0 International License</t>
        </is>
      </c>
      <c r="I21" s="10" t="inlineStr">
        <is>
          <t xml:space="preserve">No</t>
        </is>
      </c>
      <c r="J21" s="10" t="inlineStr">
        <is>
          <t xml:space="preserve">Las 21 áreas (divisiones) de LAPD</t>
        </is>
      </c>
      <c r="K21" s="10" t="inlineStr">
        <is>
          <t xml:space="preserve">Límites editados por última vez el 2023-04-28</t>
        </is>
      </c>
      <c r="L21" s="10" t="inlineStr">
        <is>
          <t xml:space="preserve">No se sabe</t>
        </is>
      </c>
      <c r="M21" s="10" t="inlineStr">
        <is>
          <t xml:space="preserve">2026-10-26</t>
        </is>
      </c>
      <c r="N21" s="10" t="inlineStr">
        <is>
          <t xml:space="preserve">Integrada al lago</t>
        </is>
      </c>
      <c r="O21" s="10" t="inlineStr">
        <is>
          <t xml:space="preserve">Búsqueda en geohub.lacity.org (ítem 031d488e158144d0b3aecaa9c888b7b3, cuenta n5875_lahub)</t>
        </is>
      </c>
      <c r="P21" s="10" t="inlineStr">
        <is>
          <t xml:space="preserve">Licencia copiada del campo licenseInfo del ítem, que además dice «This data is provided as is with no warranty of any kind». CC BY 4.0 exige atribución. El campo PREC (1 a 21) coincide con area de F01. Se simplifica a ~300 m y 4 decimales (13 KB); los límites completos se usan solo para asignar sectores censales.</t>
        </is>
      </c>
    </row>
    <row r="22">
      <c r="A22" s="10" t="inlineStr">
        <is>
          <t xml:space="preserve">F19</t>
        </is>
      </c>
      <c r="B22" s="10" t="inlineStr">
        <is>
          <t xml:space="preserve">LAPD Reporting District</t>
        </is>
      </c>
      <c r="C22" s="10" t="inlineStr">
        <is>
          <t xml:space="preserve">City of Los Angeles · LA GeoHub</t>
        </is>
      </c>
      <c r="D22" s="10" t="inlineStr">
        <is>
          <t xml:space="preserve">Entidad pública</t>
        </is>
      </c>
      <c r="E22" s="10" t="inlineStr">
        <is>
          <t xml:space="preserve">https://services5.arcgis.com/7nsPwEMP38bSkCjy/arcgis/rest/services/LAPD_Reporting_District/FeatureServer/0</t>
        </is>
      </c>
      <c r="F22" s="10" t="inlineStr">
        <is>
          <t xml:space="preserve">GeoJSON</t>
        </is>
      </c>
      <c r="G22" s="10" t="inlineStr">
        <is>
          <t xml:space="preserve">API sin llave</t>
        </is>
      </c>
      <c r="H22" s="10" t="inlineStr">
        <is>
          <t xml:space="preserve">no declara</t>
        </is>
      </c>
      <c r="I22" s="10" t="inlineStr">
        <is>
          <t xml:space="preserve">No</t>
        </is>
      </c>
      <c r="J22" s="10" t="inlineStr">
        <is>
          <t xml:space="preserve">1.135 distritos de reporte de LAPD (AGENCY = PD)</t>
        </is>
      </c>
      <c r="K22" s="10" t="inlineStr">
        <is>
          <t xml:space="preserve">Capa editada por última vez el 2026-07-21</t>
        </is>
      </c>
      <c r="L22" s="10" t="inlineStr">
        <is>
          <t xml:space="preserve">No se sabe</t>
        </is>
      </c>
      <c r="M22" s="10" t="inlineStr">
        <is>
          <t xml:space="preserve">2026-10-26</t>
        </is>
      </c>
      <c r="N22" s="10" t="inlineStr">
        <is>
          <t xml:space="preserve">Integrada al lago</t>
        </is>
      </c>
      <c r="O22" s="10" t="inlineStr">
        <is>
          <t xml:space="preserve">Búsqueda en geohub.lacity.org (ítem 924f1b2e8df642f38a6dcbcf3c7b1709, cuenta n5875_lahub)</t>
        </is>
      </c>
      <c r="P22" s="10" t="inlineStr">
        <is>
          <t xml:space="preserve">El ítem deja vacío el campo de licencia. La capa trae 1.194 polígonos: 1.135 de LAPD y 59 de otras agencias (se filtran). REPDIST coincide con rpt_dist_no de F01 en 1.132 polígonos; 3 no tienen ofensas y 8 códigos de F01 no tienen polígono. Las ofensas por distrito llevan supresión de celdas con menos de 10. Se simplifica a ~50 m y 4 decimales (unos 340 KB). La capa LAPD del servidor maps.lacity.org no sirve: tiene 1.000 registros como máximo por consulta y su capa «Divisions» es la misma de distritos.</t>
        </is>
      </c>
    </row>
    <row r="23">
      <c r="A23" s="10" t="n"/>
      <c r="B23" s="10" t="n"/>
      <c r="C23" s="10" t="n"/>
      <c r="D23" s="10" t="n"/>
      <c r="E23" s="10" t="n"/>
      <c r="F23" s="10" t="n"/>
      <c r="G23" s="10" t="n"/>
      <c r="H23" s="10" t="n"/>
      <c r="I23" s="10" t="n"/>
      <c r="J23" s="10" t="n"/>
      <c r="K23" s="10" t="n"/>
      <c r="L23" s="10" t="n"/>
      <c r="M23" s="10" t="n"/>
      <c r="N23" s="10" t="n"/>
      <c r="O23" s="10" t="n"/>
      <c r="P23" s="10" t="n"/>
    </row>
    <row r="24">
      <c r="A24" s="10" t="n"/>
      <c r="B24" s="10" t="n"/>
      <c r="C24" s="10" t="n"/>
      <c r="D24" s="10" t="n"/>
      <c r="E24" s="10" t="n"/>
      <c r="F24" s="10" t="n"/>
      <c r="G24" s="10" t="n"/>
      <c r="H24" s="10" t="n"/>
      <c r="I24" s="10" t="n"/>
      <c r="J24" s="10" t="n"/>
      <c r="K24" s="10" t="n"/>
      <c r="L24" s="10" t="n"/>
      <c r="M24" s="10" t="n"/>
      <c r="N24" s="10" t="n"/>
      <c r="O24" s="10" t="n"/>
      <c r="P24" s="10" t="n"/>
    </row>
    <row r="25">
      <c r="A25" s="10" t="n"/>
      <c r="B25" s="10" t="n"/>
      <c r="C25" s="10" t="n"/>
      <c r="D25" s="10" t="n"/>
      <c r="E25" s="10" t="n"/>
      <c r="F25" s="10" t="n"/>
      <c r="G25" s="10" t="n"/>
      <c r="H25" s="10" t="n"/>
      <c r="I25" s="10" t="n"/>
      <c r="J25" s="10" t="n"/>
      <c r="K25" s="10" t="n"/>
      <c r="L25" s="10" t="n"/>
      <c r="M25" s="10" t="n"/>
      <c r="N25" s="10" t="n"/>
      <c r="O25" s="10" t="n"/>
      <c r="P25" s="10" t="n"/>
    </row>
    <row r="26">
      <c r="A26" s="10" t="n"/>
      <c r="B26" s="10" t="n"/>
      <c r="C26" s="10" t="n"/>
      <c r="D26" s="10" t="n"/>
      <c r="E26" s="10" t="n"/>
      <c r="F26" s="10" t="n"/>
      <c r="G26" s="10" t="n"/>
      <c r="H26" s="10" t="n"/>
      <c r="I26" s="10" t="n"/>
      <c r="J26" s="10" t="n"/>
      <c r="K26" s="10" t="n"/>
      <c r="L26" s="10" t="n"/>
      <c r="M26" s="10" t="n"/>
      <c r="N26" s="10" t="n"/>
      <c r="O26" s="10" t="n"/>
      <c r="P26" s="10" t="n"/>
    </row>
    <row r="27">
      <c r="A27" s="10" t="n"/>
      <c r="B27" s="10" t="n"/>
      <c r="C27" s="10" t="n"/>
      <c r="D27" s="10" t="n"/>
      <c r="E27" s="10" t="n"/>
      <c r="F27" s="10" t="n"/>
      <c r="G27" s="10" t="n"/>
      <c r="H27" s="10" t="n"/>
      <c r="I27" s="10" t="n"/>
      <c r="J27" s="10" t="n"/>
      <c r="K27" s="10" t="n"/>
      <c r="L27" s="10" t="n"/>
      <c r="M27" s="10" t="n"/>
      <c r="N27" s="10" t="n"/>
      <c r="O27" s="10" t="n"/>
      <c r="P27" s="10" t="n"/>
    </row>
    <row r="28">
      <c r="A28" s="10" t="n"/>
      <c r="B28" s="10" t="n"/>
      <c r="C28" s="10" t="n"/>
      <c r="D28" s="10" t="n"/>
      <c r="E28" s="10" t="n"/>
      <c r="F28" s="10" t="n"/>
      <c r="G28" s="10" t="n"/>
      <c r="H28" s="10" t="n"/>
      <c r="I28" s="10" t="n"/>
      <c r="J28" s="10" t="n"/>
      <c r="K28" s="10" t="n"/>
      <c r="L28" s="10" t="n"/>
      <c r="M28" s="10" t="n"/>
      <c r="N28" s="10" t="n"/>
      <c r="O28" s="10" t="n"/>
      <c r="P28" s="10" t="n"/>
    </row>
    <row r="29">
      <c r="A29" s="10" t="n"/>
      <c r="B29" s="10" t="n"/>
      <c r="C29" s="10" t="n"/>
      <c r="D29" s="10" t="n"/>
      <c r="E29" s="10" t="n"/>
      <c r="F29" s="10" t="n"/>
      <c r="G29" s="10" t="n"/>
      <c r="H29" s="10" t="n"/>
      <c r="I29" s="10" t="n"/>
      <c r="J29" s="10" t="n"/>
      <c r="K29" s="10" t="n"/>
      <c r="L29" s="10" t="n"/>
      <c r="M29" s="10" t="n"/>
      <c r="N29" s="10" t="n"/>
      <c r="O29" s="10" t="n"/>
      <c r="P29" s="10" t="n"/>
    </row>
    <row r="30">
      <c r="A30" s="10" t="n"/>
      <c r="B30" s="10" t="n"/>
      <c r="C30" s="10" t="n"/>
      <c r="D30" s="10" t="n"/>
      <c r="E30" s="10" t="n"/>
      <c r="F30" s="10" t="n"/>
      <c r="G30" s="10" t="n"/>
      <c r="H30" s="10" t="n"/>
      <c r="I30" s="10" t="n"/>
      <c r="J30" s="10" t="n"/>
      <c r="K30" s="10" t="n"/>
      <c r="L30" s="10" t="n"/>
      <c r="M30" s="10" t="n"/>
      <c r="N30" s="10" t="n"/>
      <c r="O30" s="10" t="n"/>
      <c r="P30" s="10" t="n"/>
    </row>
    <row r="31">
      <c r="A31" s="10" t="n"/>
      <c r="B31" s="10" t="n"/>
      <c r="C31" s="10" t="n"/>
      <c r="D31" s="10" t="n"/>
      <c r="E31" s="10" t="n"/>
      <c r="F31" s="10" t="n"/>
      <c r="G31" s="10" t="n"/>
      <c r="H31" s="10" t="n"/>
      <c r="I31" s="10" t="n"/>
      <c r="J31" s="10" t="n"/>
      <c r="K31" s="10" t="n"/>
      <c r="L31" s="10" t="n"/>
      <c r="M31" s="10" t="n"/>
      <c r="N31" s="10" t="n"/>
      <c r="O31" s="10" t="n"/>
      <c r="P31" s="10" t="n"/>
    </row>
    <row r="32">
      <c r="A32" s="10" t="n"/>
      <c r="B32" s="10" t="n"/>
      <c r="C32" s="10" t="n"/>
      <c r="D32" s="10" t="n"/>
      <c r="E32" s="10" t="n"/>
      <c r="F32" s="10" t="n"/>
      <c r="G32" s="10" t="n"/>
      <c r="H32" s="10" t="n"/>
      <c r="I32" s="10" t="n"/>
      <c r="J32" s="10" t="n"/>
      <c r="K32" s="10" t="n"/>
      <c r="L32" s="10" t="n"/>
      <c r="M32" s="10" t="n"/>
      <c r="N32" s="10" t="n"/>
      <c r="O32" s="10" t="n"/>
      <c r="P32" s="10" t="n"/>
    </row>
    <row r="33">
      <c r="A33" s="10" t="n"/>
      <c r="B33" s="10" t="n"/>
      <c r="C33" s="10" t="n"/>
      <c r="D33" s="10" t="n"/>
      <c r="E33" s="10" t="n"/>
      <c r="F33" s="10" t="n"/>
      <c r="G33" s="10" t="n"/>
      <c r="H33" s="10" t="n"/>
      <c r="I33" s="10" t="n"/>
      <c r="J33" s="10" t="n"/>
      <c r="K33" s="10" t="n"/>
      <c r="L33" s="10" t="n"/>
      <c r="M33" s="10" t="n"/>
      <c r="N33" s="10" t="n"/>
      <c r="O33" s="10" t="n"/>
      <c r="P33" s="10" t="n"/>
    </row>
    <row r="34">
      <c r="A34" s="10" t="n"/>
      <c r="B34" s="10" t="n"/>
      <c r="C34" s="10" t="n"/>
      <c r="D34" s="10" t="n"/>
      <c r="E34" s="10" t="n"/>
      <c r="F34" s="10" t="n"/>
      <c r="G34" s="10" t="n"/>
      <c r="H34" s="10" t="n"/>
      <c r="I34" s="10" t="n"/>
      <c r="J34" s="10" t="n"/>
      <c r="K34" s="10" t="n"/>
      <c r="L34" s="10" t="n"/>
      <c r="M34" s="10" t="n"/>
      <c r="N34" s="10" t="n"/>
      <c r="O34" s="10" t="n"/>
      <c r="P34" s="10" t="n"/>
    </row>
    <row r="35">
      <c r="A35" s="10" t="n"/>
      <c r="B35" s="10" t="n"/>
      <c r="C35" s="10" t="n"/>
      <c r="D35" s="10" t="n"/>
      <c r="E35" s="10" t="n"/>
      <c r="F35" s="10" t="n"/>
      <c r="G35" s="10" t="n"/>
      <c r="H35" s="10" t="n"/>
      <c r="I35" s="10" t="n"/>
      <c r="J35" s="10" t="n"/>
      <c r="K35" s="10" t="n"/>
      <c r="L35" s="10" t="n"/>
      <c r="M35" s="10" t="n"/>
      <c r="N35" s="10" t="n"/>
      <c r="O35" s="10" t="n"/>
      <c r="P35" s="10" t="n"/>
    </row>
    <row r="36">
      <c r="A36" s="10" t="n"/>
      <c r="B36" s="10" t="n"/>
      <c r="C36" s="10" t="n"/>
      <c r="D36" s="10" t="n"/>
      <c r="E36" s="10" t="n"/>
      <c r="F36" s="10" t="n"/>
      <c r="G36" s="10" t="n"/>
      <c r="H36" s="10" t="n"/>
      <c r="I36" s="10" t="n"/>
      <c r="J36" s="10" t="n"/>
      <c r="K36" s="10" t="n"/>
      <c r="L36" s="10" t="n"/>
      <c r="M36" s="10" t="n"/>
      <c r="N36" s="10" t="n"/>
      <c r="O36" s="10" t="n"/>
      <c r="P36" s="10" t="n"/>
    </row>
    <row r="37">
      <c r="A37" s="10" t="n"/>
      <c r="B37" s="10" t="n"/>
      <c r="C37" s="10" t="n"/>
      <c r="D37" s="10" t="n"/>
      <c r="E37" s="10" t="n"/>
      <c r="F37" s="10" t="n"/>
      <c r="G37" s="10" t="n"/>
      <c r="H37" s="10" t="n"/>
      <c r="I37" s="10" t="n"/>
      <c r="J37" s="10" t="n"/>
      <c r="K37" s="10" t="n"/>
      <c r="L37" s="10" t="n"/>
      <c r="M37" s="10" t="n"/>
      <c r="N37" s="10" t="n"/>
      <c r="O37" s="10" t="n"/>
      <c r="P37" s="10" t="n"/>
    </row>
    <row r="38">
      <c r="A38" s="10" t="n"/>
      <c r="B38" s="10" t="n"/>
      <c r="C38" s="10" t="n"/>
      <c r="D38" s="10" t="n"/>
      <c r="E38" s="10" t="n"/>
      <c r="F38" s="10" t="n"/>
      <c r="G38" s="10" t="n"/>
      <c r="H38" s="10" t="n"/>
      <c r="I38" s="10" t="n"/>
      <c r="J38" s="10" t="n"/>
      <c r="K38" s="10" t="n"/>
      <c r="L38" s="10" t="n"/>
      <c r="M38" s="10" t="n"/>
      <c r="N38" s="10" t="n"/>
      <c r="O38" s="10" t="n"/>
      <c r="P38" s="10" t="n"/>
    </row>
    <row r="39">
      <c r="A39" s="10" t="n"/>
      <c r="B39" s="10" t="n"/>
      <c r="C39" s="10" t="n"/>
      <c r="D39" s="10" t="n"/>
      <c r="E39" s="10" t="n"/>
      <c r="F39" s="10" t="n"/>
      <c r="G39" s="10" t="n"/>
      <c r="H39" s="10" t="n"/>
      <c r="I39" s="10" t="n"/>
      <c r="J39" s="10" t="n"/>
      <c r="K39" s="10" t="n"/>
      <c r="L39" s="10" t="n"/>
      <c r="M39" s="10" t="n"/>
      <c r="N39" s="10" t="n"/>
      <c r="O39" s="10" t="n"/>
      <c r="P39" s="10" t="n"/>
    </row>
    <row r="40">
      <c r="A40" s="10" t="n"/>
      <c r="B40" s="10" t="n"/>
      <c r="C40" s="10" t="n"/>
      <c r="D40" s="10" t="n"/>
      <c r="E40" s="10" t="n"/>
      <c r="F40" s="10" t="n"/>
      <c r="G40" s="10" t="n"/>
      <c r="H40" s="10" t="n"/>
      <c r="I40" s="10" t="n"/>
      <c r="J40" s="10" t="n"/>
      <c r="K40" s="10" t="n"/>
      <c r="L40" s="10" t="n"/>
      <c r="M40" s="10" t="n"/>
      <c r="N40" s="10" t="n"/>
      <c r="O40" s="10" t="n"/>
      <c r="P40" s="10" t="n"/>
    </row>
    <row r="41">
      <c r="A41" s="10" t="n"/>
      <c r="B41" s="10" t="n"/>
      <c r="C41" s="10" t="n"/>
      <c r="D41" s="10" t="n"/>
      <c r="E41" s="10" t="n"/>
      <c r="F41" s="10" t="n"/>
      <c r="G41" s="10" t="n"/>
      <c r="H41" s="10" t="n"/>
      <c r="I41" s="10" t="n"/>
      <c r="J41" s="10" t="n"/>
      <c r="K41" s="10" t="n"/>
      <c r="L41" s="10" t="n"/>
      <c r="M41" s="10" t="n"/>
      <c r="N41" s="10" t="n"/>
      <c r="O41" s="10" t="n"/>
      <c r="P41" s="10" t="n"/>
    </row>
    <row r="42">
      <c r="A42" s="10" t="n"/>
      <c r="B42" s="10" t="n"/>
      <c r="C42" s="10" t="n"/>
      <c r="D42" s="10" t="n"/>
      <c r="E42" s="10" t="n"/>
      <c r="F42" s="10" t="n"/>
      <c r="G42" s="10" t="n"/>
      <c r="H42" s="10" t="n"/>
      <c r="I42" s="10" t="n"/>
      <c r="J42" s="10" t="n"/>
      <c r="K42" s="10" t="n"/>
      <c r="L42" s="10" t="n"/>
      <c r="M42" s="10" t="n"/>
      <c r="N42" s="10" t="n"/>
      <c r="O42" s="10" t="n"/>
      <c r="P42" s="10" t="n"/>
    </row>
    <row r="43">
      <c r="A43" s="10" t="n"/>
      <c r="B43" s="10" t="n"/>
      <c r="C43" s="10" t="n"/>
      <c r="D43" s="10" t="n"/>
      <c r="E43" s="10" t="n"/>
      <c r="F43" s="10" t="n"/>
      <c r="G43" s="10" t="n"/>
      <c r="H43" s="10" t="n"/>
      <c r="I43" s="10" t="n"/>
      <c r="J43" s="10" t="n"/>
      <c r="K43" s="10" t="n"/>
      <c r="L43" s="10" t="n"/>
      <c r="M43" s="10" t="n"/>
      <c r="N43" s="10" t="n"/>
      <c r="O43" s="10" t="n"/>
      <c r="P43" s="10" t="n"/>
    </row>
    <row r="44">
      <c r="A44" s="10" t="n"/>
      <c r="B44" s="10" t="n"/>
      <c r="C44" s="10" t="n"/>
      <c r="D44" s="10" t="n"/>
      <c r="E44" s="10" t="n"/>
      <c r="F44" s="10" t="n"/>
      <c r="G44" s="10" t="n"/>
      <c r="H44" s="10" t="n"/>
      <c r="I44" s="10" t="n"/>
      <c r="J44" s="10" t="n"/>
      <c r="K44" s="10" t="n"/>
      <c r="L44" s="10" t="n"/>
      <c r="M44" s="10" t="n"/>
      <c r="N44" s="10" t="n"/>
      <c r="O44" s="10" t="n"/>
      <c r="P44" s="10" t="n"/>
    </row>
  </sheetData>
  <dataValidations count="6">
    <dataValidation sqref="D5:D100" showDropDown="0" showInputMessage="0" showErrorMessage="0" allowBlank="1" error="Elijan una opción de la lista" type="list">
      <formula1>"Entidad pública,Academia u ONG,Plataforma colaborativa,Empresa privada,Medio de comunicación,No se sabe"</formula1>
    </dataValidation>
    <dataValidation sqref="F5:F100" showDropDown="0" showInputMessage="0" showErrorMessage="0" allowBlank="1" error="Elijan una opción de la lista" type="list">
      <formula1>"CSV,JSON,XLSX,Parquet,GeoJSON,Shapefile,PDF,Página web,Otro"</formula1>
    </dataValidation>
    <dataValidation sqref="G5:G100" showDropDown="0" showInputMessage="0" showErrorMessage="0" allowBlank="1" error="Elijan una opción de la lista" type="list">
      <formula1>"API sin llave,API con llave gratuita,Descarga directa,Solo PDF o página,Bloquea scripts o pide sesión"</formula1>
    </dataValidation>
    <dataValidation sqref="I5:I100" showDropDown="0" showInputMessage="0" showErrorMessage="0" allowBlank="1" error="Elijan una opción de la lista" type="list">
      <formula1>"No,Solo conteos por zona,Personas identificables,Texto libre sin revisar"</formula1>
    </dataValidation>
    <dataValidation sqref="L5:L100" showDropDown="0" showInputMessage="0" showErrorMessage="0" allowBlank="1" error="Elijan una opción de la lista" type="list">
      <formula1>"Tiempo real,Diaria,Mensual,Trimestral,Anual,Única vez,No se sabe"</formula1>
    </dataValidation>
    <dataValidation sqref="N5:N100" showDropDown="0" showInputMessage="0" showErrorMessage="0" allowBlank="1" error="Elijan una opción de la lista" type="list">
      <formula1>"Integrada al lago,Candidata,No responde,No existe (la inventó la IA),Descartada"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20" customWidth="1" min="2" max="2"/>
    <col width="22" customWidth="1" min="3" max="3"/>
    <col width="20" customWidth="1" min="4" max="4"/>
    <col width="36" customWidth="1" min="5" max="5"/>
    <col width="12" customWidth="1" min="6" max="6"/>
    <col width="16" customWidth="1" min="7" max="7"/>
    <col width="14" customWidth="1" min="8" max="8"/>
    <col width="11" customWidth="1" min="9" max="9"/>
    <col width="22" customWidth="1" min="10" max="10"/>
    <col width="16" customWidth="1" min="11" max="11"/>
    <col width="28" customWidth="1" min="12" max="12"/>
    <col width="32" customWidth="1" min="13" max="13"/>
  </cols>
  <sheetData>
    <row r="1" ht="18" customHeight="1">
      <c r="A1" s="6" t="inlineStr">
        <is>
          <t>2. Diccionario de datos</t>
        </is>
      </c>
    </row>
    <row r="2">
      <c r="A2" s="7" t="inlineStr">
        <is>
          <t>Una fila por campo que quedó en el lago. Si un campo del lago no aparece aquí, no existe.</t>
        </is>
      </c>
    </row>
    <row r="3" ht="42" customHeight="1">
      <c r="A3" s="8" t="inlineStr">
        <is>
          <t>ID fuente</t>
        </is>
      </c>
      <c r="B3" s="8" t="inlineStr">
        <is>
          <t>Archivo o tabla en el lago</t>
        </is>
      </c>
      <c r="C3" s="8" t="inlineStr">
        <is>
          <t>Nombre del campo en el lago</t>
        </is>
      </c>
      <c r="D3" s="8" t="inlineStr">
        <is>
          <t>Nombre original en la fuente</t>
        </is>
      </c>
      <c r="E3" s="8" t="inlineStr">
        <is>
          <t>Qué significa (en una frase)</t>
        </is>
      </c>
      <c r="F3" s="8" t="inlineStr">
        <is>
          <t>Tipo de dato</t>
        </is>
      </c>
      <c r="G3" s="8" t="inlineStr">
        <is>
          <t>Unidad de medida</t>
        </is>
      </c>
      <c r="H3" s="8" t="inlineStr">
        <is>
          <t>Ejemplo de valor</t>
        </is>
      </c>
      <c r="I3" s="8" t="inlineStr">
        <is>
          <t>¿Puede venir vacío?</t>
        </is>
      </c>
      <c r="J3" s="8" t="inlineStr">
        <is>
          <t>Valores permitidos o rango</t>
        </is>
      </c>
      <c r="K3" s="8" t="inlineStr">
        <is>
          <t>Clasificación</t>
        </is>
      </c>
      <c r="L3" s="8" t="inlineStr">
        <is>
          <t>Transformación que le hicieron</t>
        </is>
      </c>
      <c r="M3" s="8" t="inlineStr">
        <is>
          <t>Pregunta del sistema que ayuda a responder</t>
        </is>
      </c>
    </row>
    <row r="4" ht="39" customHeight="1">
      <c r="A4" s="9" t="inlineStr">
        <is>
          <t>F01</t>
        </is>
      </c>
      <c r="B4" s="9" t="inlineStr">
        <is>
          <t>lago/escucha.json</t>
        </is>
      </c>
      <c r="C4" s="9" t="inlineStr">
        <is>
          <t>vistas_ultimo_mes</t>
        </is>
      </c>
      <c r="D4" s="9" t="inlineStr">
        <is>
          <t>views</t>
        </is>
      </c>
      <c r="E4" s="9" t="inlineStr">
        <is>
          <t>Vistas del artículo de la ciudad hechas por personas en el último mes completo</t>
        </is>
      </c>
      <c r="F4" s="9" t="inlineStr">
        <is>
          <t>Entero</t>
        </is>
      </c>
      <c r="G4" s="9" t="inlineStr">
        <is>
          <t>vistas de personas</t>
        </is>
      </c>
      <c r="H4" s="9" t="inlineStr">
        <is>
          <t>19552</t>
        </is>
      </c>
      <c r="I4" s="9" t="inlineStr">
        <is>
          <t>No</t>
        </is>
      </c>
      <c r="J4" s="9" t="inlineStr">
        <is>
          <t>≥ 0</t>
        </is>
      </c>
      <c r="K4" s="9" t="inlineStr">
        <is>
          <t>Pública</t>
        </is>
      </c>
      <c r="L4" s="9" t="inlineStr">
        <is>
          <t>Se toma el último mes de la serie; la fecha AAAAMMDD se pasa a AAAA-MM</t>
        </is>
      </c>
      <c r="M4" s="9" t="inlineStr">
        <is>
          <t>¿Cuánto interés despierta la ciudad fuera de ella y cómo cambia en el año?</t>
        </is>
      </c>
    </row>
    <row r="5">
      <c r="A5" s="10" t="inlineStr">
        <is>
          <t>F01–F12</t>
        </is>
      </c>
      <c r="B5" s="10" t="inlineStr">
        <is>
          <t>lago/*.json</t>
        </is>
      </c>
      <c r="C5" s="10" t="inlineStr">
        <is>
          <t>probado</t>
        </is>
      </c>
      <c r="D5" s="10" t="inlineStr">
        <is>
          <t>(no viene de la fuente)</t>
        </is>
      </c>
      <c r="E5" s="10" t="inlineStr">
        <is>
          <t>Día en que el script bajó los datos y la fuente respondió</t>
        </is>
      </c>
      <c r="F5" s="10" t="inlineStr">
        <is>
          <t>Fecha</t>
        </is>
      </c>
      <c r="G5" s="10" t="inlineStr">
        <is>
          <t>día</t>
        </is>
      </c>
      <c r="H5" s="10" t="inlineStr">
        <is>
          <t>2026-10-05</t>
        </is>
      </c>
      <c r="I5" s="10" t="inlineStr">
        <is>
          <t>No</t>
        </is>
      </c>
      <c r="J5" s="10" t="inlineStr">
        <is>
          <t>AAAA-MM-DD; menos de un año</t>
        </is>
      </c>
      <c r="K5" s="10" t="inlineStr">
        <is>
          <t>Interna</t>
        </is>
      </c>
      <c r="L5" s="10" t="inlineStr">
        <is>
          <t>Lo escribe el script con la fecha del día (sin hora)</t>
        </is>
      </c>
      <c r="M5" s="10" t="inlineStr">
        <is>
          <t>Todas: dice qué tan al día y de dónde es cada cifra</t>
        </is>
      </c>
    </row>
    <row r="6">
      <c r="A6" s="10" t="inlineStr">
        <is>
          <t>F01–F12</t>
        </is>
      </c>
      <c r="B6" s="10" t="inlineStr">
        <is>
          <t>lago/*.json</t>
        </is>
      </c>
      <c r="C6" s="10" t="inlineStr">
        <is>
          <t>cifras.*.vigencia</t>
        </is>
      </c>
      <c r="D6" s="10" t="inlineStr">
        <is>
          <t>(se calcula)</t>
        </is>
      </c>
      <c r="E6" s="10" t="inlineStr">
        <is>
          <t>Periodo o momento que cubre cada cifra</t>
        </is>
      </c>
      <c r="F6" s="10" t="inlineStr">
        <is>
          <t>Texto</t>
        </is>
      </c>
      <c r="G6" s="10" t="inlineStr">
        <is>
          <t>periodo</t>
        </is>
      </c>
      <c r="H6" s="10" t="inlineStr">
        <is>
          <t>2025-09 a 2026-08</t>
        </is>
      </c>
      <c r="I6" s="10" t="inlineStr">
        <is>
          <t>No</t>
        </is>
      </c>
      <c r="J6" s="10" t="inlineStr">
        <is>
          <t>AAAA-MM, AAAA-MM-DD o rango</t>
        </is>
      </c>
      <c r="K6" s="10" t="inlineStr">
        <is>
          <t>Pública</t>
        </is>
      </c>
      <c r="L6" s="10" t="inlineStr">
        <is>
          <t>Sale de la ventana consultada o de la fecha que declara la fuente</t>
        </is>
      </c>
      <c r="M6" s="10" t="inlineStr">
        <is>
          <t>Todas: dice qué tan al día y de dónde es cada cifra</t>
        </is>
      </c>
    </row>
    <row r="7">
      <c r="A7" s="10" t="inlineStr">
        <is>
          <t>F01–F12</t>
        </is>
      </c>
      <c r="B7" s="10" t="inlineStr">
        <is>
          <t>lago/*.json</t>
        </is>
      </c>
      <c r="C7" s="10" t="inlineStr">
        <is>
          <t>cifras.*.fuente</t>
        </is>
      </c>
      <c r="D7" s="10" t="inlineStr">
        <is>
          <t>(no viene de la fuente)</t>
        </is>
      </c>
      <c r="E7" s="10" t="inlineStr">
        <is>
          <t>ID de la fuente del catálogo de la que sale cada cifra</t>
        </is>
      </c>
      <c r="F7" s="10" t="inlineStr">
        <is>
          <t>Código</t>
        </is>
      </c>
      <c r="G7" s="10" t="inlineStr">
        <is>
          <t>—</t>
        </is>
      </c>
      <c r="H7" s="10" t="inlineStr">
        <is>
          <t>F01</t>
        </is>
      </c>
      <c r="I7" s="10" t="inlineStr">
        <is>
          <t>No</t>
        </is>
      </c>
      <c r="J7" s="10" t="inlineStr">
        <is>
          <t>F01 a F12</t>
        </is>
      </c>
      <c r="K7" s="10" t="inlineStr">
        <is>
          <t>Pública</t>
        </is>
      </c>
      <c r="L7" s="10" t="inlineStr">
        <is>
          <t>Se asigna en el script; la verificación exige que exista en «fuentes»</t>
        </is>
      </c>
      <c r="M7" s="10" t="inlineStr">
        <is>
          <t>Todas: dice qué tan al día y de dónde es cada cifra</t>
        </is>
      </c>
    </row>
    <row r="8">
      <c r="A8" s="10" t="inlineStr">
        <is>
          <t>F01</t>
        </is>
      </c>
      <c r="B8" s="10" t="inlineStr">
        <is>
          <t>lago/seguridad.json</t>
        </is>
      </c>
      <c r="C8" s="10" t="inlineStr">
        <is>
          <t>delitos_12m</t>
        </is>
      </c>
      <c r="D8" s="10" t="inlineStr">
        <is>
          <t>count(uniquenibrno)</t>
        </is>
      </c>
      <c r="E8" s="10" t="inlineStr">
        <is>
          <t>Ofensas registradas por LAPD con fecha de ocurrencia en los últimos 12 meses completos</t>
        </is>
      </c>
      <c r="F8" s="10" t="inlineStr">
        <is>
          <t>Entero</t>
        </is>
      </c>
      <c r="G8" s="10" t="inlineStr">
        <is>
          <t>ofensas registradas</t>
        </is>
      </c>
      <c r="H8" s="10" t="n">
        <v>219938</v>
      </c>
      <c r="I8" s="10" t="inlineStr">
        <is>
          <t>No</t>
        </is>
      </c>
      <c r="J8" s="10" t="inlineStr">
        <is>
          <t>≥ 0</t>
        </is>
      </c>
      <c r="K8" s="10" t="inlineStr">
        <is>
          <t>Pública</t>
        </is>
      </c>
      <c r="L8" s="10" t="inlineStr">
        <is>
          <t>Conteo en el servidor filtrando date_occ; el registro individual nunca se baja</t>
        </is>
      </c>
      <c r="M8" s="10" t="inlineStr">
        <is>
          <t>¿Dónde se concentran los delitos y cómo evolucionan mes a mes?</t>
        </is>
      </c>
    </row>
    <row r="9">
      <c r="A9" s="10" t="inlineStr">
        <is>
          <t>F01</t>
        </is>
      </c>
      <c r="B9" s="10" t="inlineStr">
        <is>
          <t>lago/seguridad.json</t>
        </is>
      </c>
      <c r="C9" s="10" t="inlineStr">
        <is>
          <t>delitos_contra_personas_12m</t>
        </is>
      </c>
      <c r="D9" s="10" t="inlineStr">
        <is>
          <t>crime_against = «Person»</t>
        </is>
      </c>
      <c r="E9" s="10" t="inlineStr">
        <is>
          <t>Ofensas cuya víctima es una persona (agresiones, robos con violencia…)</t>
        </is>
      </c>
      <c r="F9" s="10" t="inlineStr">
        <is>
          <t>Entero</t>
        </is>
      </c>
      <c r="G9" s="10" t="inlineStr">
        <is>
          <t>ofensas registradas</t>
        </is>
      </c>
      <c r="H9" s="10" t="n">
        <v>59381</v>
      </c>
      <c r="I9" s="10" t="inlineStr">
        <is>
          <t>No</t>
        </is>
      </c>
      <c r="J9" s="10" t="inlineStr">
        <is>
          <t>≥ 0 y ≤ delitos_12m</t>
        </is>
      </c>
      <c r="K9" s="10" t="inlineStr">
        <is>
          <t>Pública</t>
        </is>
      </c>
      <c r="L9" s="10" t="inlineStr">
        <is>
          <t>Solo la categoría «Person»; las ofensas con varias categorías no se suman aquí</t>
        </is>
      </c>
      <c r="M9" s="10" t="inlineStr">
        <is>
          <t>¿Dónde se concentran los delitos y cómo evolucionan mes a mes?</t>
        </is>
      </c>
    </row>
    <row r="10">
      <c r="A10" s="10" t="inlineStr">
        <is>
          <t>F01</t>
        </is>
      </c>
      <c r="B10" s="10" t="inlineStr">
        <is>
          <t>lago/seguridad.json</t>
        </is>
      </c>
      <c r="C10" s="10" t="inlineStr">
        <is>
          <t>delitos_contra_propiedad_12m</t>
        </is>
      </c>
      <c r="D10" s="10" t="inlineStr">
        <is>
          <t>crime_against = «Property»</t>
        </is>
      </c>
      <c r="E10" s="10" t="inlineStr">
        <is>
          <t>Ofensas contra la propiedad (hurtos, robo de carros, vandalismo…)</t>
        </is>
      </c>
      <c r="F10" s="10" t="inlineStr">
        <is>
          <t>Entero</t>
        </is>
      </c>
      <c r="G10" s="10" t="inlineStr">
        <is>
          <t>ofensas registradas</t>
        </is>
      </c>
      <c r="H10" s="10" t="n">
        <v>117235</v>
      </c>
      <c r="I10" s="10" t="inlineStr">
        <is>
          <t>No</t>
        </is>
      </c>
      <c r="J10" s="10" t="inlineStr">
        <is>
          <t>≥ 0 y ≤ delitos_12m</t>
        </is>
      </c>
      <c r="K10" s="10" t="inlineStr">
        <is>
          <t>Pública</t>
        </is>
      </c>
      <c r="L10" s="10" t="inlineStr">
        <is>
          <t>Solo la categoría «Property»</t>
        </is>
      </c>
      <c r="M10" s="10" t="inlineStr">
        <is>
          <t>¿Dónde se concentran los delitos y cómo evolucionan mes a mes?</t>
        </is>
      </c>
    </row>
    <row r="11">
      <c r="A11" s="10" t="inlineStr">
        <is>
          <t>F01</t>
        </is>
      </c>
      <c r="B11" s="10" t="inlineStr">
        <is>
          <t>lago/seguridad.json</t>
        </is>
      </c>
      <c r="C11" s="10" t="inlineStr">
        <is>
          <t>delitos_mensuales</t>
        </is>
      </c>
      <c r="D11" s="10" t="inlineStr">
        <is>
          <t>date_occ + count</t>
        </is>
      </c>
      <c r="E11" s="10" t="inlineStr">
        <is>
          <t>Serie de ofensas por mes de ocurrencia, 20 meses</t>
        </is>
      </c>
      <c r="F11" s="10" t="inlineStr">
        <is>
          <t>Entero</t>
        </is>
      </c>
      <c r="G11" s="10" t="inlineStr">
        <is>
          <t>ofensas por mes</t>
        </is>
      </c>
      <c r="H11" s="10" t="inlineStr">
        <is>
          <t>['2026-08', 18313]</t>
        </is>
      </c>
      <c r="I11" s="10" t="inlineStr">
        <is>
          <t>No</t>
        </is>
      </c>
      <c r="J11" s="10" t="inlineStr">
        <is>
          <t>≥ 0; meses AAAA-MM</t>
        </is>
      </c>
      <c r="K11" s="10" t="inlineStr">
        <is>
          <t>Pública</t>
        </is>
      </c>
      <c r="L11" s="10" t="inlineStr">
        <is>
          <t>date_trunc_ym(date_occ) en el servidor. Los meses recientes pueden subir por rezago de registro</t>
        </is>
      </c>
      <c r="M11" s="10" t="inlineStr">
        <is>
          <t>¿Dónde se concentran los delitos y cómo evolucionan mes a mes?</t>
        </is>
      </c>
    </row>
    <row r="12">
      <c r="A12" s="10" t="inlineStr">
        <is>
          <t>F01</t>
        </is>
      </c>
      <c r="B12" s="10" t="inlineStr">
        <is>
          <t>lago/seguridad.json</t>
        </is>
      </c>
      <c r="C12" s="10" t="inlineStr">
        <is>
          <t>delitos_por_area.area_nombre</t>
        </is>
      </c>
      <c r="D12" s="10" t="inlineStr">
        <is>
          <t>area_name</t>
        </is>
      </c>
      <c r="E12" s="10" t="inlineStr">
        <is>
          <t>Nombre del área de policía de LAPD</t>
        </is>
      </c>
      <c r="F12" s="10" t="inlineStr">
        <is>
          <t>Texto</t>
        </is>
      </c>
      <c r="G12" s="10" t="inlineStr">
        <is>
          <t>—</t>
        </is>
      </c>
      <c r="H12" s="10" t="inlineStr">
        <is>
          <t>Central</t>
        </is>
      </c>
      <c r="I12" s="10" t="inlineStr">
        <is>
          <t>No</t>
        </is>
      </c>
      <c r="J12" s="10" t="inlineStr">
        <is>
          <t>Las 21 áreas de LAPD</t>
        </is>
      </c>
      <c r="K12" s="10" t="inlineStr">
        <is>
          <t>Pública</t>
        </is>
      </c>
      <c r="L12" s="10" t="inlineStr">
        <is>
          <t>Se quitan los espacios de relleno que trae la fuente</t>
        </is>
      </c>
      <c r="M12" s="10" t="inlineStr">
        <is>
          <t>¿Dónde se concentran los delitos y cómo evolucionan mes a mes?</t>
        </is>
      </c>
    </row>
    <row r="13">
      <c r="A13" s="10" t="inlineStr">
        <is>
          <t>F01</t>
        </is>
      </c>
      <c r="B13" s="10" t="inlineStr">
        <is>
          <t>lago/seguridad.json</t>
        </is>
      </c>
      <c r="C13" s="10" t="inlineStr">
        <is>
          <t>delitos_por_area.delitos_12m</t>
        </is>
      </c>
      <c r="D13" s="10" t="inlineStr">
        <is>
          <t>count(uniquenibrno)</t>
        </is>
      </c>
      <c r="E13" s="10" t="inlineStr">
        <is>
          <t>Ofensas de los últimos 12 meses en esa área</t>
        </is>
      </c>
      <c r="F13" s="10" t="inlineStr">
        <is>
          <t>Entero</t>
        </is>
      </c>
      <c r="G13" s="10" t="inlineStr">
        <is>
          <t>ofensas registradas</t>
        </is>
      </c>
      <c r="H13" s="10" t="n">
        <v>19273</v>
      </c>
      <c r="I13" s="10" t="inlineStr">
        <is>
          <t>No</t>
        </is>
      </c>
      <c r="J13" s="10" t="inlineStr">
        <is>
          <t>≥ 0; suman delitos_12m</t>
        </is>
      </c>
      <c r="K13" s="10" t="inlineStr">
        <is>
          <t>Pública</t>
        </is>
      </c>
      <c r="L13" s="10" t="inlineStr">
        <is>
          <t>Conteo agrupado por área en el servidor</t>
        </is>
      </c>
      <c r="M13" s="10" t="inlineStr">
        <is>
          <t>¿Dónde se concentran los delitos y cómo evolucionan mes a mes?</t>
        </is>
      </c>
    </row>
    <row r="14">
      <c r="A14" s="10" t="inlineStr">
        <is>
          <t>F03</t>
        </is>
      </c>
      <c r="B14" s="10" t="inlineStr">
        <is>
          <t>lago/municipio.json</t>
        </is>
      </c>
      <c r="C14" s="10" t="inlineStr">
        <is>
          <t>solicitudes_anio</t>
        </is>
      </c>
      <c r="D14" s="10" t="inlineStr">
        <is>
          <t>count(casenumber)</t>
        </is>
      </c>
      <c r="E14" s="10" t="inlineStr">
        <is>
          <t>Solicitudes 311 creadas en el año hasta el último mes completo</t>
        </is>
      </c>
      <c r="F14" s="10" t="inlineStr">
        <is>
          <t>Entero</t>
        </is>
      </c>
      <c r="G14" s="10" t="inlineStr">
        <is>
          <t>solicitudes de servicio</t>
        </is>
      </c>
      <c r="H14" s="10" t="n">
        <v>1801215</v>
      </c>
      <c r="I14" s="10" t="inlineStr">
        <is>
          <t>No</t>
        </is>
      </c>
      <c r="J14" s="10" t="inlineStr">
        <is>
          <t>≥ 0</t>
        </is>
      </c>
      <c r="K14" s="10" t="inlineStr">
        <is>
          <t>Pública</t>
        </is>
      </c>
      <c r="L14" s="10" t="inlineStr">
        <is>
          <t>Conteo en el servidor desde el 1 de enero</t>
        </is>
      </c>
      <c r="M14" s="10" t="inlineStr">
        <is>
          <t>¿Qué le piden los vecinos a la ciudad, en qué distritos y cuánto se resuelve?</t>
        </is>
      </c>
    </row>
    <row r="15">
      <c r="A15" s="10" t="inlineStr">
        <is>
          <t>F03</t>
        </is>
      </c>
      <c r="B15" s="10" t="inlineStr">
        <is>
          <t>lago/municipio.json</t>
        </is>
      </c>
      <c r="C15" s="10" t="inlineStr">
        <is>
          <t>pct_cerradas</t>
        </is>
      </c>
      <c r="D15" s="10" t="inlineStr">
        <is>
          <t>status</t>
        </is>
      </c>
      <c r="E15" s="10" t="inlineStr">
        <is>
          <t>Porcentaje de solicitudes del periodo con estado Closed o Closed Ext-Referred</t>
        </is>
      </c>
      <c r="F15" s="10" t="inlineStr">
        <is>
          <t>Decimal</t>
        </is>
      </c>
      <c r="G15" s="10" t="inlineStr">
        <is>
          <t>% de las solicitudes</t>
        </is>
      </c>
      <c r="H15" s="10" t="n">
        <v>86</v>
      </c>
      <c r="I15" s="10" t="inlineStr">
        <is>
          <t>No</t>
        </is>
      </c>
      <c r="J15" s="10" t="inlineStr">
        <is>
          <t>0 a 100</t>
        </is>
      </c>
      <c r="K15" s="10" t="inlineStr">
        <is>
          <t>Pública</t>
        </is>
      </c>
      <c r="L15" s="10" t="inlineStr">
        <is>
          <t>(Closed + Closed Ext-Referred) / total × 100, un decimal</t>
        </is>
      </c>
      <c r="M15" s="10" t="inlineStr">
        <is>
          <t>¿Qué le piden los vecinos a la ciudad, en qué distritos y cuánto se resuelve?</t>
        </is>
      </c>
    </row>
    <row r="16">
      <c r="A16" s="10" t="inlineStr">
        <is>
          <t>F03</t>
        </is>
      </c>
      <c r="B16" s="10" t="inlineStr">
        <is>
          <t>lago/municipio.json</t>
        </is>
      </c>
      <c r="C16" s="10" t="inlineStr">
        <is>
          <t>solicitudes_mensuales</t>
        </is>
      </c>
      <c r="D16" s="10" t="inlineStr">
        <is>
          <t>createddate + count</t>
        </is>
      </c>
      <c r="E16" s="10" t="inlineStr">
        <is>
          <t>Serie de solicitudes por mes de creación</t>
        </is>
      </c>
      <c r="F16" s="10" t="inlineStr">
        <is>
          <t>Entero</t>
        </is>
      </c>
      <c r="G16" s="10" t="inlineStr">
        <is>
          <t>solicitudes por mes</t>
        </is>
      </c>
      <c r="H16" s="10" t="inlineStr">
        <is>
          <t>['2026-09', 213321]</t>
        </is>
      </c>
      <c r="I16" s="10" t="inlineStr">
        <is>
          <t>No</t>
        </is>
      </c>
      <c r="J16" s="10" t="inlineStr">
        <is>
          <t>≥ 0; meses AAAA-MM</t>
        </is>
      </c>
      <c r="K16" s="10" t="inlineStr">
        <is>
          <t>Pública</t>
        </is>
      </c>
      <c r="L16" s="10" t="inlineStr">
        <is>
          <t>date_trunc_ym(createddate) en el servidor</t>
        </is>
      </c>
      <c r="M16" s="10" t="inlineStr">
        <is>
          <t>¿Qué le piden los vecinos a la ciudad, en qué distritos y cuánto se resuelve?</t>
        </is>
      </c>
    </row>
    <row r="17">
      <c r="A17" s="10" t="inlineStr">
        <is>
          <t>F03</t>
        </is>
      </c>
      <c r="B17" s="10" t="inlineStr">
        <is>
          <t>lago/municipio.json</t>
        </is>
      </c>
      <c r="C17" s="10" t="inlineStr">
        <is>
          <t>solicitudes_por_tipo.tipo</t>
        </is>
      </c>
      <c r="D17" s="10" t="inlineStr">
        <is>
          <t>type</t>
        </is>
      </c>
      <c r="E17" s="10" t="inlineStr">
        <is>
          <t>Tipo de solicitud (las 10 más frecuentes)</t>
        </is>
      </c>
      <c r="F17" s="10" t="inlineStr">
        <is>
          <t>Texto</t>
        </is>
      </c>
      <c r="G17" s="10" t="inlineStr">
        <is>
          <t>—</t>
        </is>
      </c>
      <c r="H17" s="10" t="inlineStr">
        <is>
          <t>Information-Only</t>
        </is>
      </c>
      <c r="I17" s="10" t="inlineStr">
        <is>
          <t>No</t>
        </is>
      </c>
      <c r="J17" s="10" t="inlineStr">
        <is>
          <t>Categorías del portal 311</t>
        </is>
      </c>
      <c r="K17" s="10" t="inlineStr">
        <is>
          <t>Pública</t>
        </is>
      </c>
      <c r="L17" s="10" t="inlineStr">
        <is>
          <t>Top 10 calculado en el servidor</t>
        </is>
      </c>
      <c r="M17" s="10" t="inlineStr">
        <is>
          <t>¿Qué le piden los vecinos a la ciudad, en qué distritos y cuánto se resuelve?</t>
        </is>
      </c>
    </row>
    <row r="18">
      <c r="A18" s="10" t="inlineStr">
        <is>
          <t>F03</t>
        </is>
      </c>
      <c r="B18" s="10" t="inlineStr">
        <is>
          <t>lago/municipio.json</t>
        </is>
      </c>
      <c r="C18" s="10" t="inlineStr">
        <is>
          <t>solicitudes_por_tipo.solicitudes</t>
        </is>
      </c>
      <c r="D18" s="10" t="inlineStr">
        <is>
          <t>count(casenumber)</t>
        </is>
      </c>
      <c r="E18" s="10" t="inlineStr">
        <is>
          <t>Solicitudes de ese tipo en el periodo</t>
        </is>
      </c>
      <c r="F18" s="10" t="inlineStr">
        <is>
          <t>Entero</t>
        </is>
      </c>
      <c r="G18" s="10" t="inlineStr">
        <is>
          <t>solicitudes de servicio</t>
        </is>
      </c>
      <c r="H18" s="10" t="n">
        <v>418194</v>
      </c>
      <c r="I18" s="10" t="inlineStr">
        <is>
          <t>No</t>
        </is>
      </c>
      <c r="J18" s="10" t="inlineStr">
        <is>
          <t>≥ 0</t>
        </is>
      </c>
      <c r="K18" s="10" t="inlineStr">
        <is>
          <t>Pública</t>
        </is>
      </c>
      <c r="L18" s="10" t="inlineStr">
        <is>
          <t>Conteo agrupado por tipo en el servidor</t>
        </is>
      </c>
      <c r="M18" s="10" t="inlineStr">
        <is>
          <t>¿Qué le piden los vecinos a la ciudad, en qué distritos y cuánto se resuelve?</t>
        </is>
      </c>
    </row>
    <row r="19">
      <c r="A19" s="10" t="inlineStr">
        <is>
          <t>F03</t>
        </is>
      </c>
      <c r="B19" s="10" t="inlineStr">
        <is>
          <t>lago/municipio.json</t>
        </is>
      </c>
      <c r="C19" s="10" t="inlineStr">
        <is>
          <t>solicitudes_por_distrito.cd</t>
        </is>
      </c>
      <c r="D19" s="10" t="inlineStr">
        <is>
          <t>locator_council_district</t>
        </is>
      </c>
      <c r="E19" s="10" t="inlineStr">
        <is>
          <t>Número del distrito de consejo donde se hizo la solicitud</t>
        </is>
      </c>
      <c r="F19" s="10" t="inlineStr">
        <is>
          <t>Código</t>
        </is>
      </c>
      <c r="G19" s="10" t="inlineStr">
        <is>
          <t>—</t>
        </is>
      </c>
      <c r="H19" s="10" t="n">
        <v>14</v>
      </c>
      <c r="I19" s="10" t="inlineStr">
        <is>
          <t>No</t>
        </is>
      </c>
      <c r="J19" s="10" t="inlineStr">
        <is>
          <t>1 a 15</t>
        </is>
      </c>
      <c r="K19" s="10" t="inlineStr">
        <is>
          <t>Pública</t>
        </is>
      </c>
      <c r="L19" s="10" t="inlineStr">
        <is>
          <t>Texto a entero; se excluyen las vacías y las «0» (se dicen en la nota de la tabla)</t>
        </is>
      </c>
      <c r="M19" s="10" t="inlineStr">
        <is>
          <t>¿Cómo se comparan los 15 distritos de consejo entre sí?</t>
        </is>
      </c>
    </row>
    <row r="20">
      <c r="A20" s="10" t="inlineStr">
        <is>
          <t>F03</t>
        </is>
      </c>
      <c r="B20" s="10" t="inlineStr">
        <is>
          <t>lago/municipio.json</t>
        </is>
      </c>
      <c r="C20" s="10" t="inlineStr">
        <is>
          <t>solicitudes_por_distrito.solicitudes</t>
        </is>
      </c>
      <c r="D20" s="10" t="inlineStr">
        <is>
          <t>count(casenumber)</t>
        </is>
      </c>
      <c r="E20" s="10" t="inlineStr">
        <is>
          <t>Solicitudes del periodo en ese distrito</t>
        </is>
      </c>
      <c r="F20" s="10" t="inlineStr">
        <is>
          <t>Entero</t>
        </is>
      </c>
      <c r="G20" s="10" t="inlineStr">
        <is>
          <t>solicitudes de servicio</t>
        </is>
      </c>
      <c r="H20" s="10" t="n">
        <v>151360</v>
      </c>
      <c r="I20" s="10" t="inlineStr">
        <is>
          <t>No</t>
        </is>
      </c>
      <c r="J20" s="10" t="inlineStr">
        <is>
          <t>≥ 0</t>
        </is>
      </c>
      <c r="K20" s="10" t="inlineStr">
        <is>
          <t>Pública</t>
        </is>
      </c>
      <c r="L20" s="10" t="inlineStr">
        <is>
          <t>Conteo agrupado por distrito en el servidor</t>
        </is>
      </c>
      <c r="M20" s="10" t="inlineStr">
        <is>
          <t>¿Qué le piden los vecinos a la ciudad, en qué distritos y cuánto se resuelve?</t>
        </is>
      </c>
    </row>
    <row r="21">
      <c r="A21" s="10" t="inlineStr">
        <is>
          <t>F04</t>
        </is>
      </c>
      <c r="B21" s="10" t="inlineStr">
        <is>
          <t>lago/vivienda.json</t>
        </is>
      </c>
      <c r="C21" s="10" t="inlineStr">
        <is>
          <t>permisos_12m</t>
        </is>
      </c>
      <c r="D21" s="10" t="inlineStr">
        <is>
          <t>count(permit_nbr)</t>
        </is>
      </c>
      <c r="E21" s="10" t="inlineStr">
        <is>
          <t>Permisos de construcción emitidos en los últimos 12 meses completos</t>
        </is>
      </c>
      <c r="F21" s="10" t="inlineStr">
        <is>
          <t>Entero</t>
        </is>
      </c>
      <c r="G21" s="10" t="inlineStr">
        <is>
          <t>permisos emitidos</t>
        </is>
      </c>
      <c r="H21" s="10" t="n">
        <v>64247</v>
      </c>
      <c r="I21" s="10" t="inlineStr">
        <is>
          <t>No</t>
        </is>
      </c>
      <c r="J21" s="10" t="inlineStr">
        <is>
          <t>≥ 0</t>
        </is>
      </c>
      <c r="K21" s="10" t="inlineStr">
        <is>
          <t>Pública</t>
        </is>
      </c>
      <c r="L21" s="10" t="inlineStr">
        <is>
          <t>Conteo en el servidor filtrando issue_date</t>
        </is>
      </c>
      <c r="M21" s="10" t="inlineStr">
        <is>
          <t>¿Dónde se está construyendo y cuánta vivienda se suma?</t>
        </is>
      </c>
    </row>
    <row r="22">
      <c r="A22" s="10" t="inlineStr">
        <is>
          <t>F04</t>
        </is>
      </c>
      <c r="B22" s="10" t="inlineStr">
        <is>
          <t>lago/vivienda.json</t>
        </is>
      </c>
      <c r="C22" s="10" t="inlineStr">
        <is>
          <t>unidades_netas_12m</t>
        </is>
      </c>
      <c r="D22" s="10" t="inlineStr">
        <is>
          <t>du_changed</t>
        </is>
      </c>
      <c r="E22" s="10" t="inlineStr">
        <is>
          <t>Cambio neto en unidades de vivienda según los permisos emitidos</t>
        </is>
      </c>
      <c r="F22" s="10" t="inlineStr">
        <is>
          <t>Entero</t>
        </is>
      </c>
      <c r="G22" s="10" t="inlineStr">
        <is>
          <t>unidades de vivienda (neto)</t>
        </is>
      </c>
      <c r="H22" s="10" t="n">
        <v>17553</v>
      </c>
      <c r="I22" s="10" t="inlineStr">
        <is>
          <t>No</t>
        </is>
      </c>
      <c r="J22" s="10" t="inlineStr">
        <is>
          <t>Puede ser negativo (demoliciones)</t>
        </is>
      </c>
      <c r="K22" s="10" t="inlineStr">
        <is>
          <t>Pública</t>
        </is>
      </c>
      <c r="L22" s="10" t="inlineStr">
        <is>
          <t>du_changed llega como texto: se agrupa en el servidor y se convierte a número antes de sumar</t>
        </is>
      </c>
      <c r="M22" s="10" t="inlineStr">
        <is>
          <t>¿Dónde se está construyendo y cuánta vivienda se suma?</t>
        </is>
      </c>
    </row>
    <row r="23">
      <c r="A23" s="10" t="inlineStr">
        <is>
          <t>F04</t>
        </is>
      </c>
      <c r="B23" s="10" t="inlineStr">
        <is>
          <t>lago/vivienda.json</t>
        </is>
      </c>
      <c r="C23" s="10" t="inlineStr">
        <is>
          <t>permisos_mensuales</t>
        </is>
      </c>
      <c r="D23" s="10" t="inlineStr">
        <is>
          <t>issue_date + count</t>
        </is>
      </c>
      <c r="E23" s="10" t="inlineStr">
        <is>
          <t>Serie de permisos emitidos por mes</t>
        </is>
      </c>
      <c r="F23" s="10" t="inlineStr">
        <is>
          <t>Entero</t>
        </is>
      </c>
      <c r="G23" s="10" t="inlineStr">
        <is>
          <t>permisos por mes</t>
        </is>
      </c>
      <c r="H23" s="10" t="inlineStr">
        <is>
          <t>['2026-09', 5932]</t>
        </is>
      </c>
      <c r="I23" s="10" t="inlineStr">
        <is>
          <t>No</t>
        </is>
      </c>
      <c r="J23" s="10" t="inlineStr">
        <is>
          <t>≥ 0; meses AAAA-MM</t>
        </is>
      </c>
      <c r="K23" s="10" t="inlineStr">
        <is>
          <t>Pública</t>
        </is>
      </c>
      <c r="L23" s="10" t="inlineStr">
        <is>
          <t>date_trunc_ym(issue_date) en el servidor</t>
        </is>
      </c>
      <c r="M23" s="10" t="inlineStr">
        <is>
          <t>¿Dónde se está construyendo y cuánta vivienda se suma?</t>
        </is>
      </c>
    </row>
    <row r="24">
      <c r="A24" s="10" t="inlineStr">
        <is>
          <t>F04</t>
        </is>
      </c>
      <c r="B24" s="10" t="inlineStr">
        <is>
          <t>lago/vivienda.json</t>
        </is>
      </c>
      <c r="C24" s="10" t="inlineStr">
        <is>
          <t>permisos_por_distrito.cd</t>
        </is>
      </c>
      <c r="D24" s="10" t="inlineStr">
        <is>
          <t>cd</t>
        </is>
      </c>
      <c r="E24" s="10" t="inlineStr">
        <is>
          <t>Número del distrito de consejo del permiso</t>
        </is>
      </c>
      <c r="F24" s="10" t="inlineStr">
        <is>
          <t>Código</t>
        </is>
      </c>
      <c r="G24" s="10" t="inlineStr">
        <is>
          <t>—</t>
        </is>
      </c>
      <c r="H24" s="10" t="n">
        <v>11</v>
      </c>
      <c r="I24" s="10" t="inlineStr">
        <is>
          <t>No</t>
        </is>
      </c>
      <c r="J24" s="10" t="inlineStr">
        <is>
          <t>1 a 15</t>
        </is>
      </c>
      <c r="K24" s="10" t="inlineStr">
        <is>
          <t>Pública</t>
        </is>
      </c>
      <c r="L24" s="10" t="inlineStr">
        <is>
          <t>Se excluyen los permisos sin distrito</t>
        </is>
      </c>
      <c r="M24" s="10" t="inlineStr">
        <is>
          <t>¿Cómo se comparan los 15 distritos de consejo entre sí?</t>
        </is>
      </c>
    </row>
    <row r="25">
      <c r="A25" s="10" t="inlineStr">
        <is>
          <t>F04</t>
        </is>
      </c>
      <c r="B25" s="10" t="inlineStr">
        <is>
          <t>lago/vivienda.json</t>
        </is>
      </c>
      <c r="C25" s="10" t="inlineStr">
        <is>
          <t>permisos_por_distrito.permisos</t>
        </is>
      </c>
      <c r="D25" s="10" t="inlineStr">
        <is>
          <t>count(permit_nbr)</t>
        </is>
      </c>
      <c r="E25" s="10" t="inlineStr">
        <is>
          <t>Permisos emitidos en ese distrito en 12 meses</t>
        </is>
      </c>
      <c r="F25" s="10" t="inlineStr">
        <is>
          <t>Entero</t>
        </is>
      </c>
      <c r="G25" s="10" t="inlineStr">
        <is>
          <t>permisos emitidos</t>
        </is>
      </c>
      <c r="H25" s="10" t="n">
        <v>11015</v>
      </c>
      <c r="I25" s="10" t="inlineStr">
        <is>
          <t>No</t>
        </is>
      </c>
      <c r="J25" s="10" t="inlineStr">
        <is>
          <t>≥ 0</t>
        </is>
      </c>
      <c r="K25" s="10" t="inlineStr">
        <is>
          <t>Pública</t>
        </is>
      </c>
      <c r="L25" s="10" t="inlineStr">
        <is>
          <t>Conteo agrupado por distrito en el servidor</t>
        </is>
      </c>
      <c r="M25" s="10" t="inlineStr">
        <is>
          <t>¿Dónde se está construyendo y cuánta vivienda se suma?</t>
        </is>
      </c>
    </row>
    <row r="26">
      <c r="A26" s="10" t="inlineStr">
        <is>
          <t>F04</t>
        </is>
      </c>
      <c r="B26" s="10" t="inlineStr">
        <is>
          <t>lago/vivienda.json</t>
        </is>
      </c>
      <c r="C26" s="10" t="inlineStr">
        <is>
          <t>permisos_por_distrito.unidades_netas</t>
        </is>
      </c>
      <c r="D26" s="10" t="inlineStr">
        <is>
          <t>du_changed</t>
        </is>
      </c>
      <c r="E26" s="10" t="inlineStr">
        <is>
          <t>Cambio neto en unidades de vivienda en ese distrito</t>
        </is>
      </c>
      <c r="F26" s="10" t="inlineStr">
        <is>
          <t>Entero</t>
        </is>
      </c>
      <c r="G26" s="10" t="inlineStr">
        <is>
          <t>unidades de vivienda (neto)</t>
        </is>
      </c>
      <c r="H26" s="10" t="n">
        <v>3367</v>
      </c>
      <c r="I26" s="10" t="inlineStr">
        <is>
          <t>No</t>
        </is>
      </c>
      <c r="J26" s="10" t="inlineStr">
        <is>
          <t>Puede ser negativo</t>
        </is>
      </c>
      <c r="K26" s="10" t="inlineStr">
        <is>
          <t>Pública</t>
        </is>
      </c>
      <c r="L26" s="10" t="inlineStr">
        <is>
          <t>Texto a número y suma por distrito</t>
        </is>
      </c>
      <c r="M26" s="10" t="inlineStr">
        <is>
          <t>¿Dónde se está construyendo y cuánta vivienda se suma?</t>
        </is>
      </c>
    </row>
    <row r="27">
      <c r="A27" s="10" t="inlineStr">
        <is>
          <t>F06</t>
        </is>
      </c>
      <c r="B27" s="10" t="inlineStr">
        <is>
          <t>lago/demografia.json</t>
        </is>
      </c>
      <c r="C27" s="10" t="inlineStr">
        <is>
          <t>poblacion</t>
        </is>
      </c>
      <c r="D27" s="10" t="inlineStr">
        <is>
          <t>Total Population 1/1/2026</t>
        </is>
      </c>
      <c r="E27" s="10" t="inlineStr">
        <is>
          <t>Habitantes de la ciudad (no del condado) al 1 de enero</t>
        </is>
      </c>
      <c r="F27" s="10" t="inlineStr">
        <is>
          <t>Entero</t>
        </is>
      </c>
      <c r="G27" s="10" t="inlineStr">
        <is>
          <t>habitantes</t>
        </is>
      </c>
      <c r="H27" s="10" t="n">
        <v>3806201</v>
      </c>
      <c r="I27" s="10" t="inlineStr">
        <is>
          <t>No</t>
        </is>
      </c>
      <c r="J27" s="10" t="inlineStr">
        <is>
          <t>3.000.000 a 4.500.000 (verificación)</t>
        </is>
      </c>
      <c r="K27" s="10" t="inlineStr">
        <is>
          <t>Pública</t>
        </is>
      </c>
      <c r="L27" s="10" t="inlineStr">
        <is>
          <t>Se toma la fila «Los Angeles» de la ciudad, la menor de las dos</t>
        </is>
      </c>
      <c r="M27" s="10" t="inlineStr">
        <is>
          <t>¿Cuánta gente vive en Los Ángeles y cómo cambia?</t>
        </is>
      </c>
    </row>
    <row r="28">
      <c r="A28" s="10" t="inlineStr">
        <is>
          <t>F06</t>
        </is>
      </c>
      <c r="B28" s="10" t="inlineStr">
        <is>
          <t>lago/demografia.json</t>
        </is>
      </c>
      <c r="C28" s="10" t="inlineStr">
        <is>
          <t>poblacion_anio_anterior</t>
        </is>
      </c>
      <c r="D28" s="10" t="inlineStr">
        <is>
          <t>Total Population 1/1/2025</t>
        </is>
      </c>
      <c r="E28" s="10" t="inlineStr">
        <is>
          <t>Habitantes de la ciudad un año antes</t>
        </is>
      </c>
      <c r="F28" s="10" t="inlineStr">
        <is>
          <t>Entero</t>
        </is>
      </c>
      <c r="G28" s="10" t="inlineStr">
        <is>
          <t>habitantes</t>
        </is>
      </c>
      <c r="H28" s="10" t="n">
        <v>3839536</v>
      </c>
      <c r="I28" s="10" t="inlineStr">
        <is>
          <t>No</t>
        </is>
      </c>
      <c r="J28" s="10" t="inlineStr">
        <is>
          <t>≥ 0</t>
        </is>
      </c>
      <c r="K28" s="10" t="inlineStr">
        <is>
          <t>Pública</t>
        </is>
      </c>
      <c r="L28" s="10" t="inlineStr">
        <is>
          <t>Misma fila, columna del año anterior</t>
        </is>
      </c>
      <c r="M28" s="10" t="inlineStr">
        <is>
          <t>¿Cuánta gente vive en Los Ángeles y cómo cambia?</t>
        </is>
      </c>
    </row>
    <row r="29">
      <c r="A29" s="10" t="inlineStr">
        <is>
          <t>F06</t>
        </is>
      </c>
      <c r="B29" s="10" t="inlineStr">
        <is>
          <t>lago/demografia.json</t>
        </is>
      </c>
      <c r="C29" s="10" t="inlineStr">
        <is>
          <t>variacion_poblacion_pct</t>
        </is>
      </c>
      <c r="D29" s="10" t="inlineStr">
        <is>
          <t>Percent Change</t>
        </is>
      </c>
      <c r="E29" s="10" t="inlineStr">
        <is>
          <t>Cambio porcentual de la población en el último año</t>
        </is>
      </c>
      <c r="F29" s="10" t="inlineStr">
        <is>
          <t>Decimal</t>
        </is>
      </c>
      <c r="G29" s="10" t="inlineStr">
        <is>
          <t>% anual</t>
        </is>
      </c>
      <c r="H29" s="10" t="n">
        <v>-0.87</v>
      </c>
      <c r="I29" s="10" t="inlineStr">
        <is>
          <t>No</t>
        </is>
      </c>
      <c r="J29" s="10" t="inlineStr">
        <is>
          <t>-100 a 100</t>
        </is>
      </c>
      <c r="K29" s="10" t="inlineStr">
        <is>
          <t>Pública</t>
        </is>
      </c>
      <c r="L29" s="10" t="inlineStr">
        <is>
          <t>Redondeo a dos decimales</t>
        </is>
      </c>
      <c r="M29" s="10" t="inlineStr">
        <is>
          <t>¿Cuánta gente vive en Los Ángeles y cómo cambia?</t>
        </is>
      </c>
    </row>
    <row r="30">
      <c r="A30" s="10" t="inlineStr">
        <is>
          <t>F06</t>
        </is>
      </c>
      <c r="B30" s="10" t="inlineStr">
        <is>
          <t>lago/demografia.json</t>
        </is>
      </c>
      <c r="C30" s="10" t="inlineStr">
        <is>
          <t>viviendas</t>
        </is>
      </c>
      <c r="D30" s="10" t="inlineStr">
        <is>
          <t>Housing units 1/1/2026 (hoja E-1H)</t>
        </is>
      </c>
      <c r="E30" s="10" t="inlineStr">
        <is>
          <t>Unidades de vivienda de la ciudad al 1 de enero</t>
        </is>
      </c>
      <c r="F30" s="10" t="inlineStr">
        <is>
          <t>Entero</t>
        </is>
      </c>
      <c r="G30" s="10" t="inlineStr">
        <is>
          <t>unidades de vivienda</t>
        </is>
      </c>
      <c r="H30" s="10" t="n">
        <v>1597841</v>
      </c>
      <c r="I30" s="10" t="inlineStr">
        <is>
          <t>No</t>
        </is>
      </c>
      <c r="J30" s="10" t="inlineStr">
        <is>
          <t>&gt; 0 y &lt; población</t>
        </is>
      </c>
      <c r="K30" s="10" t="inlineStr">
        <is>
          <t>Pública</t>
        </is>
      </c>
      <c r="L30" s="10" t="inlineStr">
        <is>
          <t>Fila de la ciudad en la hoja de viviendas</t>
        </is>
      </c>
      <c r="M30" s="10" t="inlineStr">
        <is>
          <t>¿Dónde se está construyendo y cuánta vivienda se suma?</t>
        </is>
      </c>
    </row>
    <row r="31">
      <c r="A31" s="10" t="inlineStr">
        <is>
          <t>F09</t>
        </is>
      </c>
      <c r="B31" s="10" t="inlineStr">
        <is>
          <t>lago/movilidad.json</t>
        </is>
      </c>
      <c r="C31" s="10" t="inlineStr">
        <is>
          <t>estaciones</t>
        </is>
      </c>
      <c r="D31" s="10" t="inlineStr">
        <is>
          <t>data.stations</t>
        </is>
      </c>
      <c r="E31" s="10" t="inlineStr">
        <is>
          <t>Estaciones que publica el sistema en ese momento</t>
        </is>
      </c>
      <c r="F31" s="10" t="inlineStr">
        <is>
          <t>Entero</t>
        </is>
      </c>
      <c r="G31" s="10" t="inlineStr">
        <is>
          <t>estaciones</t>
        </is>
      </c>
      <c r="H31" s="10" t="n">
        <v>224</v>
      </c>
      <c r="I31" s="10" t="inlineStr">
        <is>
          <t>No</t>
        </is>
      </c>
      <c r="J31" s="10" t="inlineStr">
        <is>
          <t>≥ 0</t>
        </is>
      </c>
      <c r="K31" s="10" t="inlineStr">
        <is>
          <t>Pública</t>
        </is>
      </c>
      <c r="L31" s="10" t="inlineStr">
        <is>
          <t>Se cuentan las estaciones del feed</t>
        </is>
      </c>
      <c r="M31" s="10" t="inlineStr">
        <is>
          <t>¿Cómo está la bicicleta compartida en este momento?</t>
        </is>
      </c>
    </row>
    <row r="32">
      <c r="A32" s="10" t="inlineStr">
        <is>
          <t>F09</t>
        </is>
      </c>
      <c r="B32" s="10" t="inlineStr">
        <is>
          <t>lago/movilidad.json</t>
        </is>
      </c>
      <c r="C32" s="10" t="inlineStr">
        <is>
          <t>estaciones_operando</t>
        </is>
      </c>
      <c r="D32" s="10" t="inlineStr">
        <is>
          <t>is_installed, is_renting</t>
        </is>
      </c>
      <c r="E32" s="10" t="inlineStr">
        <is>
          <t>Estaciones instaladas y prestando bicicletas</t>
        </is>
      </c>
      <c r="F32" s="10" t="inlineStr">
        <is>
          <t>Entero</t>
        </is>
      </c>
      <c r="G32" s="10" t="inlineStr">
        <is>
          <t>estaciones</t>
        </is>
      </c>
      <c r="H32" s="10" t="n">
        <v>217</v>
      </c>
      <c r="I32" s="10" t="inlineStr">
        <is>
          <t>No</t>
        </is>
      </c>
      <c r="J32" s="10" t="inlineStr">
        <is>
          <t>≤ estaciones</t>
        </is>
      </c>
      <c r="K32" s="10" t="inlineStr">
        <is>
          <t>Pública</t>
        </is>
      </c>
      <c r="L32" s="10" t="inlineStr">
        <is>
          <t>Se cuentan las que tienen ambas marcas en 1</t>
        </is>
      </c>
      <c r="M32" s="10" t="inlineStr">
        <is>
          <t>¿Cómo está la bicicleta compartida en este momento?</t>
        </is>
      </c>
    </row>
    <row r="33">
      <c r="A33" s="10" t="inlineStr">
        <is>
          <t>F09</t>
        </is>
      </c>
      <c r="B33" s="10" t="inlineStr">
        <is>
          <t>lago/movilidad.json</t>
        </is>
      </c>
      <c r="C33" s="10" t="inlineStr">
        <is>
          <t>bicis_disponibles</t>
        </is>
      </c>
      <c r="D33" s="10" t="inlineStr">
        <is>
          <t>num_bikes_available</t>
        </is>
      </c>
      <c r="E33" s="10" t="inlineStr">
        <is>
          <t>Bicicletas listas para alquilar en todo el sistema</t>
        </is>
      </c>
      <c r="F33" s="10" t="inlineStr">
        <is>
          <t>Entero</t>
        </is>
      </c>
      <c r="G33" s="10" t="inlineStr">
        <is>
          <t>bicicletas</t>
        </is>
      </c>
      <c r="H33" s="10" t="n">
        <v>1422</v>
      </c>
      <c r="I33" s="10" t="inlineStr">
        <is>
          <t>No</t>
        </is>
      </c>
      <c r="J33" s="10" t="inlineStr">
        <is>
          <t>≥ 0</t>
        </is>
      </c>
      <c r="K33" s="10" t="inlineStr">
        <is>
          <t>Pública</t>
        </is>
      </c>
      <c r="L33" s="10" t="inlineStr">
        <is>
          <t>Suma de todas las estaciones</t>
        </is>
      </c>
      <c r="M33" s="10" t="inlineStr">
        <is>
          <t>¿Cómo está la bicicleta compartida en este momento?</t>
        </is>
      </c>
    </row>
    <row r="34">
      <c r="A34" s="10" t="inlineStr">
        <is>
          <t>F09</t>
        </is>
      </c>
      <c r="B34" s="10" t="inlineStr">
        <is>
          <t>lago/movilidad.json</t>
        </is>
      </c>
      <c r="C34" s="10" t="inlineStr">
        <is>
          <t>anclajes_libres</t>
        </is>
      </c>
      <c r="D34" s="10" t="inlineStr">
        <is>
          <t>num_docks_available</t>
        </is>
      </c>
      <c r="E34" s="10" t="inlineStr">
        <is>
          <t>Anclajes vacíos para devolver una bicicleta</t>
        </is>
      </c>
      <c r="F34" s="10" t="inlineStr">
        <is>
          <t>Entero</t>
        </is>
      </c>
      <c r="G34" s="10" t="inlineStr">
        <is>
          <t>anclajes</t>
        </is>
      </c>
      <c r="H34" s="10" t="n">
        <v>1847</v>
      </c>
      <c r="I34" s="10" t="inlineStr">
        <is>
          <t>No</t>
        </is>
      </c>
      <c r="J34" s="10" t="inlineStr">
        <is>
          <t>≥ 0</t>
        </is>
      </c>
      <c r="K34" s="10" t="inlineStr">
        <is>
          <t>Pública</t>
        </is>
      </c>
      <c r="L34" s="10" t="inlineStr">
        <is>
          <t>Suma de todas las estaciones</t>
        </is>
      </c>
      <c r="M34" s="10" t="inlineStr">
        <is>
          <t>¿Cómo está la bicicleta compartida en este momento?</t>
        </is>
      </c>
    </row>
    <row r="35">
      <c r="A35" s="10" t="inlineStr">
        <is>
          <t>F09</t>
        </is>
      </c>
      <c r="B35" s="10" t="inlineStr">
        <is>
          <t>lago/movilidad.json</t>
        </is>
      </c>
      <c r="C35" s="10" t="inlineStr">
        <is>
          <t>bicis_electricas</t>
        </is>
      </c>
      <c r="D35" s="10" t="inlineStr">
        <is>
          <t>num_bikes_available_types.electric</t>
        </is>
      </c>
      <c r="E35" s="10" t="inlineStr">
        <is>
          <t>Bicicletas eléctricas disponibles</t>
        </is>
      </c>
      <c r="F35" s="10" t="inlineStr">
        <is>
          <t>Entero</t>
        </is>
      </c>
      <c r="G35" s="10" t="inlineStr">
        <is>
          <t>bicicletas eléctricas</t>
        </is>
      </c>
      <c r="H35" s="10" t="n">
        <v>110</v>
      </c>
      <c r="I35" s="10" t="inlineStr">
        <is>
          <t>No</t>
        </is>
      </c>
      <c r="J35" s="10" t="inlineStr">
        <is>
          <t>≤ bicis_disponibles</t>
        </is>
      </c>
      <c r="K35" s="10" t="inlineStr">
        <is>
          <t>Pública</t>
        </is>
      </c>
      <c r="L35" s="10" t="inlineStr">
        <is>
          <t>Suma de todas las estaciones; la vigencia es last_updated en UTC</t>
        </is>
      </c>
      <c r="M35" s="10" t="inlineStr">
        <is>
          <t>¿Cómo está la bicicleta compartida en este momento?</t>
        </is>
      </c>
    </row>
    <row r="36">
      <c r="A36" s="10" t="inlineStr">
        <is>
          <t>F10</t>
        </is>
      </c>
      <c r="B36" s="10" t="inlineStr">
        <is>
          <t>lago/equipamientos.json</t>
        </is>
      </c>
      <c r="C36" s="10" t="inlineStr">
        <is>
          <t>hoteles</t>
        </is>
      </c>
      <c r="D36" s="10" t="inlineStr">
        <is>
          <t>tourism=hotel</t>
        </is>
      </c>
      <c r="E36" s="10" t="inlineStr">
        <is>
          <t>Hoteles mapeados en OpenStreetMap dentro de la ciudad</t>
        </is>
      </c>
      <c r="F36" s="10" t="inlineStr">
        <is>
          <t>Entero</t>
        </is>
      </c>
      <c r="G36" s="10" t="inlineStr">
        <is>
          <t>elementos en OSM</t>
        </is>
      </c>
      <c r="H36" s="10" t="n">
        <v>398</v>
      </c>
      <c r="I36" s="10" t="inlineStr">
        <is>
          <t>No</t>
        </is>
      </c>
      <c r="J36" s="10" t="inlineStr">
        <is>
          <t>≥ 0</t>
        </is>
      </c>
      <c r="K36" s="10" t="inlineStr">
        <is>
          <t>Pública</t>
        </is>
      </c>
      <c r="L36" s="10" t="inlineStr">
        <is>
          <t>out count dentro del área 3600207359 (nodos, vías y relaciones)</t>
        </is>
      </c>
      <c r="M36" s="10" t="inlineStr">
        <is>
          <t>¿Con cuántos hospitales, colegios, parques y hoteles cuenta la ciudad?</t>
        </is>
      </c>
    </row>
    <row r="37">
      <c r="A37" s="10" t="inlineStr">
        <is>
          <t>F10</t>
        </is>
      </c>
      <c r="B37" s="10" t="inlineStr">
        <is>
          <t>lago/equipamientos.json</t>
        </is>
      </c>
      <c r="C37" s="10" t="inlineStr">
        <is>
          <t>hospitales</t>
        </is>
      </c>
      <c r="D37" s="10" t="inlineStr">
        <is>
          <t>amenity=hospital</t>
        </is>
      </c>
      <c r="E37" s="10" t="inlineStr">
        <is>
          <t>Hospitales mapeados en OpenStreetMap dentro de la ciudad</t>
        </is>
      </c>
      <c r="F37" s="10" t="inlineStr">
        <is>
          <t>Entero</t>
        </is>
      </c>
      <c r="G37" s="10" t="inlineStr">
        <is>
          <t>elementos en OSM</t>
        </is>
      </c>
      <c r="H37" s="10" t="n">
        <v>58</v>
      </c>
      <c r="I37" s="10" t="inlineStr">
        <is>
          <t>No</t>
        </is>
      </c>
      <c r="J37" s="10" t="inlineStr">
        <is>
          <t>≥ 0</t>
        </is>
      </c>
      <c r="K37" s="10" t="inlineStr">
        <is>
          <t>Pública</t>
        </is>
      </c>
      <c r="L37" s="10" t="inlineStr">
        <is>
          <t>Igual que hoteles</t>
        </is>
      </c>
      <c r="M37" s="10" t="inlineStr">
        <is>
          <t>¿Con cuántos hospitales, colegios, parques y hoteles cuenta la ciudad?</t>
        </is>
      </c>
    </row>
    <row r="38">
      <c r="A38" s="10" t="inlineStr">
        <is>
          <t>F10</t>
        </is>
      </c>
      <c r="B38" s="10" t="inlineStr">
        <is>
          <t>lago/equipamientos.json</t>
        </is>
      </c>
      <c r="C38" s="10" t="inlineStr">
        <is>
          <t>colegios</t>
        </is>
      </c>
      <c r="D38" s="10" t="inlineStr">
        <is>
          <t>amenity=school</t>
        </is>
      </c>
      <c r="E38" s="10" t="inlineStr">
        <is>
          <t>Colegios mapeados en OpenStreetMap dentro de la ciudad</t>
        </is>
      </c>
      <c r="F38" s="10" t="inlineStr">
        <is>
          <t>Entero</t>
        </is>
      </c>
      <c r="G38" s="10" t="inlineStr">
        <is>
          <t>elementos en OSM</t>
        </is>
      </c>
      <c r="H38" s="10" t="n">
        <v>1089</v>
      </c>
      <c r="I38" s="10" t="inlineStr">
        <is>
          <t>No</t>
        </is>
      </c>
      <c r="J38" s="10" t="inlineStr">
        <is>
          <t>≥ 0</t>
        </is>
      </c>
      <c r="K38" s="10" t="inlineStr">
        <is>
          <t>Pública</t>
        </is>
      </c>
      <c r="L38" s="10" t="inlineStr">
        <is>
          <t>Igual que hoteles</t>
        </is>
      </c>
      <c r="M38" s="10" t="inlineStr">
        <is>
          <t>¿Con cuántos hospitales, colegios, parques y hoteles cuenta la ciudad?</t>
        </is>
      </c>
    </row>
    <row r="39">
      <c r="A39" s="10" t="inlineStr">
        <is>
          <t>F10</t>
        </is>
      </c>
      <c r="B39" s="10" t="inlineStr">
        <is>
          <t>lago/equipamientos.json</t>
        </is>
      </c>
      <c r="C39" s="10" t="inlineStr">
        <is>
          <t>parques</t>
        </is>
      </c>
      <c r="D39" s="10" t="inlineStr">
        <is>
          <t>leisure=park</t>
        </is>
      </c>
      <c r="E39" s="10" t="inlineStr">
        <is>
          <t>Parques mapeados en OpenStreetMap dentro de la ciudad</t>
        </is>
      </c>
      <c r="F39" s="10" t="inlineStr">
        <is>
          <t>Entero</t>
        </is>
      </c>
      <c r="G39" s="10" t="inlineStr">
        <is>
          <t>elementos en OSM</t>
        </is>
      </c>
      <c r="H39" s="10" t="n">
        <v>667</v>
      </c>
      <c r="I39" s="10" t="inlineStr">
        <is>
          <t>No</t>
        </is>
      </c>
      <c r="J39" s="10" t="inlineStr">
        <is>
          <t>≥ 0</t>
        </is>
      </c>
      <c r="K39" s="10" t="inlineStr">
        <is>
          <t>Pública</t>
        </is>
      </c>
      <c r="L39" s="10" t="inlineStr">
        <is>
          <t>Igual que hoteles</t>
        </is>
      </c>
      <c r="M39" s="10" t="inlineStr">
        <is>
          <t>¿Con cuántos hospitales, colegios, parques y hoteles cuenta la ciudad?</t>
        </is>
      </c>
    </row>
    <row r="40">
      <c r="A40" s="10" t="inlineStr">
        <is>
          <t>F11</t>
        </is>
      </c>
      <c r="B40" s="10" t="inlineStr">
        <is>
          <t>lago/escucha.json</t>
        </is>
      </c>
      <c r="C40" s="10" t="inlineStr">
        <is>
          <t>vistas_ultimo_mes</t>
        </is>
      </c>
      <c r="D40" s="10" t="inlineStr">
        <is>
          <t>views</t>
        </is>
      </c>
      <c r="E40" s="10" t="inlineStr">
        <is>
          <t>Vistas del artículo «Los Ángeles» hechas por personas en el último mes completo</t>
        </is>
      </c>
      <c r="F40" s="10" t="inlineStr">
        <is>
          <t>Entero</t>
        </is>
      </c>
      <c r="G40" s="10" t="inlineStr">
        <is>
          <t>vistas de personas</t>
        </is>
      </c>
      <c r="H40" s="10" t="n">
        <v>18658</v>
      </c>
      <c r="I40" s="10" t="inlineStr">
        <is>
          <t>No</t>
        </is>
      </c>
      <c r="J40" s="10" t="inlineStr">
        <is>
          <t>≥ 0</t>
        </is>
      </c>
      <c r="K40" s="10" t="inlineStr">
        <is>
          <t>Pública</t>
        </is>
      </c>
      <c r="L40" s="10" t="inlineStr">
        <is>
          <t>Se toma el último mes de la serie; AAAAMMDD pasa a AAAA-MM</t>
        </is>
      </c>
      <c r="M40" s="10" t="inlineStr">
        <is>
          <t>¿Cuánto interés despierta Los Ángeles fuera de la ciudad?</t>
        </is>
      </c>
    </row>
    <row r="41">
      <c r="A41" s="10" t="inlineStr">
        <is>
          <t>F11</t>
        </is>
      </c>
      <c r="B41" s="10" t="inlineStr">
        <is>
          <t>lago/escucha.json</t>
        </is>
      </c>
      <c r="C41" s="10" t="inlineStr">
        <is>
          <t>vistas_mensuales</t>
        </is>
      </c>
      <c r="D41" s="10" t="inlineStr">
        <is>
          <t>timestamp, views</t>
        </is>
      </c>
      <c r="E41" s="10" t="inlineStr">
        <is>
          <t>Serie de vistas mensuales del artículo, 20 meses</t>
        </is>
      </c>
      <c r="F41" s="10" t="inlineStr">
        <is>
          <t>Entero</t>
        </is>
      </c>
      <c r="G41" s="10" t="inlineStr">
        <is>
          <t>vistas de personas</t>
        </is>
      </c>
      <c r="H41" s="10" t="inlineStr">
        <is>
          <t>['2026-09', 18658]</t>
        </is>
      </c>
      <c r="I41" s="10" t="inlineStr">
        <is>
          <t>No</t>
        </is>
      </c>
      <c r="J41" s="10" t="inlineStr">
        <is>
          <t>≥ 0; meses AAAA-MM</t>
        </is>
      </c>
      <c r="K41" s="10" t="inlineStr">
        <is>
          <t>Pública</t>
        </is>
      </c>
      <c r="L41" s="10" t="inlineStr">
        <is>
          <t>La fecha AAAAMMDD00 pasa a AAAA-MM</t>
        </is>
      </c>
      <c r="M41" s="10" t="inlineStr">
        <is>
          <t>¿Cuánto interés despierta Los Ángeles fuera de la ciudad?</t>
        </is>
      </c>
    </row>
    <row r="42">
      <c r="A42" s="10" t="inlineStr">
        <is>
          <t>F12</t>
        </is>
      </c>
      <c r="B42" s="10" t="inlineStr">
        <is>
          <t>territorio/distritos_consejo.geojson</t>
        </is>
      </c>
      <c r="C42" s="10" t="inlineStr">
        <is>
          <t>cd</t>
        </is>
      </c>
      <c r="D42" s="10" t="inlineStr">
        <is>
          <t>District</t>
        </is>
      </c>
      <c r="E42" s="10" t="inlineStr">
        <is>
          <t>Número del distrito de consejo</t>
        </is>
      </c>
      <c r="F42" s="10" t="inlineStr">
        <is>
          <t>Código</t>
        </is>
      </c>
      <c r="G42" s="10" t="inlineStr">
        <is>
          <t>—</t>
        </is>
      </c>
      <c r="H42" s="10" t="n">
        <v>1</v>
      </c>
      <c r="I42" s="10" t="inlineStr">
        <is>
          <t>No</t>
        </is>
      </c>
      <c r="J42" s="10" t="inlineStr">
        <is>
          <t>1 a 15</t>
        </is>
      </c>
      <c r="K42" s="10" t="inlineStr">
        <is>
          <t>Pública</t>
        </is>
      </c>
      <c r="L42" s="10" t="inlineStr">
        <is>
          <t>Texto a entero; se ordenan del 1 al 15</t>
        </is>
      </c>
      <c r="M42" s="10" t="inlineStr">
        <is>
          <t>¿Cómo se comparan los 15 distritos de consejo entre sí?</t>
        </is>
      </c>
    </row>
    <row r="43">
      <c r="A43" s="10" t="inlineStr">
        <is>
          <t>F12</t>
        </is>
      </c>
      <c r="B43" s="10" t="inlineStr">
        <is>
          <t>territorio/distritos_consejo.geojson</t>
        </is>
      </c>
      <c r="C43" s="10" t="inlineStr">
        <is>
          <t>nombre</t>
        </is>
      </c>
      <c r="D43" s="10" t="inlineStr">
        <is>
          <t>NAME</t>
        </is>
      </c>
      <c r="E43" s="10" t="inlineStr">
        <is>
          <t>Nombre del concejal que representa el distrito</t>
        </is>
      </c>
      <c r="F43" s="10" t="inlineStr">
        <is>
          <t>Texto</t>
        </is>
      </c>
      <c r="G43" s="10" t="inlineStr">
        <is>
          <t>—</t>
        </is>
      </c>
      <c r="H43" s="10" t="inlineStr">
        <is>
          <t>Eunisses Hernandez</t>
        </is>
      </c>
      <c r="I43" s="10" t="inlineStr">
        <is>
          <t>No</t>
        </is>
      </c>
      <c r="J43" s="10" t="inlineStr">
        <is>
          <t>15 nombres</t>
        </is>
      </c>
      <c r="K43" s="10" t="inlineStr">
        <is>
          <t>Pública</t>
        </is>
      </c>
      <c r="L43" s="10" t="inlineStr">
        <is>
          <t>Sin cambios; es el nombre de un cargo público</t>
        </is>
      </c>
      <c r="M43" s="10" t="inlineStr">
        <is>
          <t>¿Cómo se comparan los 15 distritos de consejo entre sí?</t>
        </is>
      </c>
    </row>
    <row r="44">
      <c r="A44" s="10" t="inlineStr">
        <is>
          <t>F12</t>
        </is>
      </c>
      <c r="B44" s="10" t="inlineStr">
        <is>
          <t>territorio/distritos_consejo.geojson</t>
        </is>
      </c>
      <c r="C44" s="10" t="inlineStr">
        <is>
          <t>geometry</t>
        </is>
      </c>
      <c r="D44" s="10" t="inlineStr">
        <is>
          <t>Shape</t>
        </is>
      </c>
      <c r="E44" s="10" t="inlineStr">
        <is>
          <t>Polígono del distrito en coordenadas WGS84</t>
        </is>
      </c>
      <c r="F44" s="10" t="inlineStr">
        <is>
          <t>Coordenada / geometría</t>
        </is>
      </c>
      <c r="G44" s="10" t="inlineStr">
        <is>
          <t>grados (lon, lat)</t>
        </is>
      </c>
      <c r="H44" s="10" t="inlineStr">
        <is>
          <t>Polygon, 36 vértices (distrito 1)</t>
        </is>
      </c>
      <c r="I44" s="10" t="inlineStr">
        <is>
          <t>No</t>
        </is>
      </c>
      <c r="J44" s="10" t="inlineStr">
        <is>
          <t>Dentro del límite de la ciudad</t>
        </is>
      </c>
      <c r="K44" s="10" t="inlineStr">
        <is>
          <t>Pública</t>
        </is>
      </c>
      <c r="L44" s="10" t="inlineStr">
        <is>
          <t>Simplificado a ~300 m y 4 decimales (maxAllowableOffset=0.003)</t>
        </is>
      </c>
      <c r="M44" s="10" t="inlineStr">
        <is>
          <t>¿Cómo se comparan los 15 distritos de consejo entre sí?</t>
        </is>
      </c>
    </row>
    <row r="45">
      <c r="A45" s="10" t="inlineStr">
        <is>
          <t>F03</t>
        </is>
      </c>
      <c r="B45" s="10" t="inlineStr">
        <is>
          <t>lago/municipio.json</t>
        </is>
      </c>
      <c r="C45" s="10" t="inlineStr">
        <is>
          <t>pct_cerradas_sin_informativas</t>
        </is>
      </c>
      <c r="D45" s="10" t="inlineStr">
        <is>
          <t>status, type</t>
        </is>
      </c>
      <c r="E45" s="10" t="inlineStr">
        <is>
          <t>Porcentaje de solicitudes cerradas sin contar el tipo Information-Only, que se cierra al instante e infla pct_cerradas</t>
        </is>
      </c>
      <c r="F45" s="10" t="inlineStr">
        <is>
          <t>Decimal</t>
        </is>
      </c>
      <c r="G45" s="10" t="inlineStr">
        <is>
          <t>% de las solicitudes sin Information-Only</t>
        </is>
      </c>
      <c r="H45" s="10" t="inlineStr">
        <is>
          <t>81.9</t>
        </is>
      </c>
      <c r="I45" s="10" t="inlineStr">
        <is>
          <t>No</t>
        </is>
      </c>
      <c r="J45" s="10" t="inlineStr">
        <is>
          <t>0 a 100 y ≤ pct_cerradas</t>
        </is>
      </c>
      <c r="K45" s="10" t="inlineStr">
        <is>
          <t>Pública</t>
        </is>
      </c>
      <c r="L45" s="10" t="inlineStr">
        <is>
          <t>(Closed + Closed Ext-Referred) / total, ambos sin type = «Information-Only», × 100, un decimal</t>
        </is>
      </c>
      <c r="M45" s="10" t="inlineStr">
        <is>
          <t>¿Qué le piden los vecinos a la ciudad, en qué distritos y cuánto se resuelve?</t>
        </is>
      </c>
    </row>
    <row r="46">
      <c r="A46" s="10" t="inlineStr">
        <is>
          <t>F01</t>
        </is>
      </c>
      <c r="B46" s="10" t="inlineStr">
        <is>
          <t>lago/seguridad.json</t>
        </is>
      </c>
      <c r="C46" s="10" t="inlineStr">
        <is>
          <t>delitos_contra_sociedad_12m</t>
        </is>
      </c>
      <c r="D46" s="10" t="inlineStr">
        <is>
          <t>crime_against = «Society»</t>
        </is>
      </c>
      <c r="E46" s="10" t="inlineStr">
        <is>
          <t>Ofensas contra la sociedad (drogas, armas, prostitución…)</t>
        </is>
      </c>
      <c r="F46" s="10" t="inlineStr">
        <is>
          <t>Entero</t>
        </is>
      </c>
      <c r="G46" s="10" t="inlineStr">
        <is>
          <t>ofensas registradas</t>
        </is>
      </c>
      <c r="H46" s="10" t="inlineStr">
        <is>
          <t>24465</t>
        </is>
      </c>
      <c r="I46" s="10" t="inlineStr">
        <is>
          <t>No</t>
        </is>
      </c>
      <c r="J46" s="10" t="inlineStr">
        <is>
          <t>≥ 0 y ≤ delitos_12m</t>
        </is>
      </c>
      <c r="K46" s="10" t="inlineStr">
        <is>
          <t>Pública</t>
        </is>
      </c>
      <c r="L46" s="10" t="inlineStr">
        <is>
          <t>Solo la categoría «Society»</t>
        </is>
      </c>
      <c r="M46" s="10" t="inlineStr">
        <is>
          <t>¿Dónde se concentran los delitos y cómo evolucionan mes a mes?</t>
        </is>
      </c>
    </row>
    <row r="47">
      <c r="A47" s="10" t="inlineStr">
        <is>
          <t>F01</t>
        </is>
      </c>
      <c r="B47" s="10" t="inlineStr">
        <is>
          <t>lago/seguridad.json</t>
        </is>
      </c>
      <c r="C47" s="10" t="inlineStr">
        <is>
          <t>delitos_varias_categorias_12m</t>
        </is>
      </c>
      <c r="D47" s="10" t="inlineStr">
        <is>
          <t>crime_against (valores combinados)</t>
        </is>
      </c>
      <c r="E47" s="10" t="inlineStr">
        <is>
          <t>Ofensas que la fuente clasifica en varias categorías a la vez, p. ej. «Person, Property, Society»</t>
        </is>
      </c>
      <c r="F47" s="10" t="inlineStr">
        <is>
          <t>Entero</t>
        </is>
      </c>
      <c r="G47" s="10" t="inlineStr">
        <is>
          <t>ofensas registradas</t>
        </is>
      </c>
      <c r="H47" s="10" t="inlineStr">
        <is>
          <t>18765</t>
        </is>
      </c>
      <c r="I47" s="10" t="inlineStr">
        <is>
          <t>No</t>
        </is>
      </c>
      <c r="J47" s="10" t="inlineStr">
        <is>
          <t>≥ 0 y ≤ delitos_12m</t>
        </is>
      </c>
      <c r="K47" s="10" t="inlineStr">
        <is>
          <t>Pública</t>
        </is>
      </c>
      <c r="L47" s="10" t="inlineStr">
        <is>
          <t>Suma de todo valor de crime_against distinto de Person, Property, Society y vacío</t>
        </is>
      </c>
      <c r="M47" s="10" t="inlineStr">
        <is>
          <t>¿Dónde se concentran los delitos y cómo evolucionan mes a mes?</t>
        </is>
      </c>
    </row>
    <row r="48">
      <c r="A48" s="10" t="inlineStr">
        <is>
          <t>F01</t>
        </is>
      </c>
      <c r="B48" s="10" t="inlineStr">
        <is>
          <t>lago/seguridad.json</t>
        </is>
      </c>
      <c r="C48" s="10" t="inlineStr">
        <is>
          <t>delitos_sin_categoria_12m</t>
        </is>
      </c>
      <c r="D48" s="10" t="inlineStr">
        <is>
          <t>crime_against (vacío)</t>
        </is>
      </c>
      <c r="E48" s="10" t="inlineStr">
        <is>
          <t>Ofensas con crime_against vacío en la fuente</t>
        </is>
      </c>
      <c r="F48" s="10" t="inlineStr">
        <is>
          <t>Entero</t>
        </is>
      </c>
      <c r="G48" s="10" t="inlineStr">
        <is>
          <t>ofensas registradas</t>
        </is>
      </c>
      <c r="H48" s="10" t="inlineStr">
        <is>
          <t>92</t>
        </is>
      </c>
      <c r="I48" s="10" t="inlineStr">
        <is>
          <t>No</t>
        </is>
      </c>
      <c r="J48" s="10" t="inlineStr">
        <is>
          <t>≥ 0; personas + propiedad + sociedad + varias + sin categoría = delitos_12m</t>
        </is>
      </c>
      <c r="K48" s="10" t="inlineStr">
        <is>
          <t>Pública</t>
        </is>
      </c>
      <c r="L48" s="10" t="inlineStr">
        <is>
          <t>Conteo de crime_against nulo; con las otras cuatro partes suma exactamente delitos_12m</t>
        </is>
      </c>
      <c r="M48" s="10" t="inlineStr">
        <is>
          <t>¿Dónde se concentran los delitos y cómo evolucionan mes a mes?</t>
        </is>
      </c>
    </row>
    <row r="49">
      <c r="A49" s="10" t="inlineStr">
        <is>
          <t>F04</t>
        </is>
      </c>
      <c r="B49" s="10" t="inlineStr">
        <is>
          <t>lago/vivienda.json</t>
        </is>
      </c>
      <c r="C49" s="10" t="inlineStr">
        <is>
          <t>permisos_por_distrito.nota</t>
        </is>
      </c>
      <c r="D49" s="10" t="inlineStr">
        <is>
          <t>cd</t>
        </is>
      </c>
      <c r="E49" s="10" t="inlineStr">
        <is>
          <t>Texto que dice cuántos permisos del periodo no traen distrito de consejo</t>
        </is>
      </c>
      <c r="F49" s="10" t="inlineStr">
        <is>
          <t>Texto</t>
        </is>
      </c>
      <c r="G49" s="10" t="inlineStr">
        <is>
          <t>—</t>
        </is>
      </c>
      <c r="H49" s="10" t="inlineStr">
        <is>
          <t>10 permisos del periodo no traen distrito de consejo (y 0 de…</t>
        </is>
      </c>
      <c r="I49" s="10" t="inlineStr">
        <is>
          <t>No</t>
        </is>
      </c>
      <c r="J49" s="10" t="inlineStr">
        <is>
          <t>Distritos + sin distrito = permisos_12m</t>
        </is>
      </c>
      <c r="K49" s="10" t="inlineStr">
        <is>
          <t>Pública</t>
        </is>
      </c>
      <c r="L49" s="10" t="inlineStr">
        <is>
          <t>Total menos la suma de permisos con distrito; se verifica en verificar.py</t>
        </is>
      </c>
      <c r="M49" s="10" t="inlineStr">
        <is>
          <t>¿Cómo se comparan los 15 distritos de consejo entre sí?</t>
        </is>
      </c>
    </row>
    <row r="50">
      <c r="A50" s="10" t="inlineStr">
        <is>
          <t>F12</t>
        </is>
      </c>
      <c r="B50" s="10" t="inlineStr">
        <is>
          <t>territorio/distritos_consejo.geojson</t>
        </is>
      </c>
      <c r="C50" s="10" t="inlineStr">
        <is>
          <t>properties.vigencia</t>
        </is>
      </c>
      <c r="D50" s="10" t="inlineStr">
        <is>
          <t>— (fecha de descarga)</t>
        </is>
      </c>
      <c r="E50" s="10" t="inlineStr">
        <is>
          <t>Fecha en que los nombres de los concejales eran válidos; la fuente no publica la suya, así que es el día de la descarga</t>
        </is>
      </c>
      <c r="F50" s="10" t="inlineStr">
        <is>
          <t>Fecha</t>
        </is>
      </c>
      <c r="G50" s="10" t="inlineStr">
        <is>
          <t>AAAA-MM-DD</t>
        </is>
      </c>
      <c r="H50" s="10" t="inlineStr">
        <is>
          <t>2026-10-06</t>
        </is>
      </c>
      <c r="I50" s="10" t="inlineStr">
        <is>
          <t>No</t>
        </is>
      </c>
      <c r="J50" s="10" t="inlineStr">
        <is>
          <t>Fecha válida</t>
        </is>
      </c>
      <c r="K50" s="10" t="inlineStr">
        <is>
          <t>Pública</t>
        </is>
      </c>
      <c r="L50" s="10" t="inlineStr">
        <is>
          <t>Se escribe al descargar la capa</t>
        </is>
      </c>
      <c r="M50" s="10" t="inlineStr">
        <is>
          <t>¿Cómo se comparan los 15 distritos de consejo entre sí?</t>
        </is>
      </c>
    </row>
    <row r="51">
      <c r="A51" s="10" t="inlineStr">
        <is>
          <t>F12</t>
        </is>
      </c>
      <c r="B51" s="10" t="inlineStr">
        <is>
          <t>territorio/distritos_consejo.geojson</t>
        </is>
      </c>
      <c r="C51" s="10" t="inlineStr">
        <is>
          <t>nota (nivel superior)</t>
        </is>
      </c>
      <c r="D51" s="10" t="inlineStr">
        <is>
          <t>—</t>
        </is>
      </c>
      <c r="E51" s="10" t="inlineStr">
        <is>
          <t>Aviso de que la geometría está simplificada, con su tolerancia</t>
        </is>
      </c>
      <c r="F51" s="10" t="inlineStr">
        <is>
          <t>Texto</t>
        </is>
      </c>
      <c r="G51" s="10" t="inlineStr">
        <is>
          <t>—</t>
        </is>
      </c>
      <c r="H51" s="10" t="inlineStr">
        <is>
          <t>Geometría simplificada con maxAllowableOffset = 0,003 grados…</t>
        </is>
      </c>
      <c r="I51" s="10" t="inlineStr">
        <is>
          <t>No</t>
        </is>
      </c>
      <c r="J51" s="10" t="inlineStr">
        <is>
          <t>Contiene la palabra «simplificada»</t>
        </is>
      </c>
      <c r="K51" s="10" t="inlineStr">
        <is>
          <t>Pública</t>
        </is>
      </c>
      <c r="L51" s="10" t="inlineStr">
        <is>
          <t>Texto fijo en pull_territorio.py; la capa sin simplificar es pública (~1,3 MB)</t>
        </is>
      </c>
      <c r="M51" s="10" t="inlineStr">
        <is>
          <t>¿Cómo se comparan los 15 distritos de consejo entre sí?</t>
        </is>
      </c>
    </row>
    <row r="52">
      <c r="A52" s="10" t="inlineStr">
        <is>
          <t>F07</t>
        </is>
      </c>
      <c r="B52" s="10" t="inlineStr">
        <is>
          <t>lago/demografia.json</t>
        </is>
      </c>
      <c r="C52" s="10" t="inlineStr">
        <is>
          <t>natalidad_ciudad_por_1000</t>
        </is>
      </c>
      <c r="D52" s="10" t="inlineStr">
        <is>
          <t>B13016_002E / B13016_001E</t>
        </is>
      </c>
      <c r="E52" s="10" t="inlineStr">
        <is>
          <t>Nacimientos en los últimos 12 meses por 1.000 mujeres de 15 a 50 años en la ciudad</t>
        </is>
      </c>
      <c r="F52" s="10" t="inlineStr">
        <is>
          <t>Decimal</t>
        </is>
      </c>
      <c r="G52" s="10" t="inlineStr">
        <is>
          <t>nacimientos por 1.000 mujeres de 15 a 50 años</t>
        </is>
      </c>
      <c r="H52" s="10" t="inlineStr">
        <is>
          <t>39.5</t>
        </is>
      </c>
      <c r="I52" s="10" t="inlineStr">
        <is>
          <t>No</t>
        </is>
      </c>
      <c r="J52" s="10" t="inlineStr">
        <is>
          <t>10 a 100 e igual a la fila de la ciudad en natalidad_por_ambito</t>
        </is>
      </c>
      <c r="K52" s="10" t="inlineStr">
        <is>
          <t>Pública</t>
        </is>
      </c>
      <c r="L52" s="10" t="inlineStr">
        <is>
          <t>B13016_002E / B13016_001E × 1.000, un decimal; último ACS de 5 años</t>
        </is>
      </c>
      <c r="M52" s="10" t="inlineStr">
        <is>
          <t>¿Cuánta gente vive en Los Ángeles y cómo cambia?</t>
        </is>
      </c>
    </row>
    <row r="53">
      <c r="A53" s="10" t="inlineStr">
        <is>
          <t>F07</t>
        </is>
      </c>
      <c r="B53" s="10" t="inlineStr">
        <is>
          <t>lago/demografia.json</t>
        </is>
      </c>
      <c r="C53" s="10" t="inlineStr">
        <is>
          <t>natalidad_por_ambito.ambito</t>
        </is>
      </c>
      <c r="D53" s="10" t="inlineStr">
        <is>
          <t>— (lugar consultado)</t>
        </is>
      </c>
      <c r="E53" s="10" t="inlineStr">
        <is>
          <t>Ciudad de Los Ángeles (place 06-44000), California o Estados Unidos</t>
        </is>
      </c>
      <c r="F53" s="10" t="inlineStr">
        <is>
          <t>Texto</t>
        </is>
      </c>
      <c r="G53" s="10" t="inlineStr">
        <is>
          <t>—</t>
        </is>
      </c>
      <c r="H53" s="10" t="inlineStr">
        <is>
          <t>Ciudad de Los Ángeles</t>
        </is>
      </c>
      <c r="I53" s="10" t="inlineStr">
        <is>
          <t>No</t>
        </is>
      </c>
      <c r="J53" s="10" t="inlineStr">
        <is>
          <t>Exactamente esas tres filas</t>
        </is>
      </c>
      <c r="K53" s="10" t="inlineStr">
        <is>
          <t>Pública</t>
        </is>
      </c>
      <c r="L53" s="10" t="inlineStr">
        <is>
          <t>Nombre fijo por consulta (place:44000, state:06, us:1)</t>
        </is>
      </c>
      <c r="M53" s="10" t="inlineStr">
        <is>
          <t>¿Cuánta gente vive en Los Ángeles y cómo cambia?</t>
        </is>
      </c>
    </row>
    <row r="54">
      <c r="A54" s="10" t="inlineStr">
        <is>
          <t>F07</t>
        </is>
      </c>
      <c r="B54" s="10" t="inlineStr">
        <is>
          <t>lago/demografia.json</t>
        </is>
      </c>
      <c r="C54" s="10" t="inlineStr">
        <is>
          <t>natalidad_por_ambito.mujeres_15_50</t>
        </is>
      </c>
      <c r="D54" s="10" t="inlineStr">
        <is>
          <t>B13016_001E</t>
        </is>
      </c>
      <c r="E54" s="10" t="inlineStr">
        <is>
          <t>Mujeres de 15 a 50 años (estimación del ACS)</t>
        </is>
      </c>
      <c r="F54" s="10" t="inlineStr">
        <is>
          <t>Entero</t>
        </is>
      </c>
      <c r="G54" s="10" t="inlineStr">
        <is>
          <t>mujeres</t>
        </is>
      </c>
      <c r="H54" s="10" t="inlineStr">
        <is>
          <t>1012365</t>
        </is>
      </c>
      <c r="I54" s="10" t="inlineStr">
        <is>
          <t>No</t>
        </is>
      </c>
      <c r="J54" s="10" t="inlineStr">
        <is>
          <t>&gt; 0</t>
        </is>
      </c>
      <c r="K54" s="10" t="inlineStr">
        <is>
          <t>Pública</t>
        </is>
      </c>
      <c r="L54" s="10" t="inlineStr">
        <is>
          <t>Se toma tal cual; es una estimación con margen de error</t>
        </is>
      </c>
      <c r="M54" s="10" t="inlineStr">
        <is>
          <t>¿Cuánta gente vive en Los Ángeles y cómo cambia?</t>
        </is>
      </c>
    </row>
    <row r="55">
      <c r="A55" s="10" t="inlineStr">
        <is>
          <t>F07</t>
        </is>
      </c>
      <c r="B55" s="10" t="inlineStr">
        <is>
          <t>lago/demografia.json</t>
        </is>
      </c>
      <c r="C55" s="10" t="inlineStr">
        <is>
          <t>natalidad_por_ambito.nacimientos</t>
        </is>
      </c>
      <c r="D55" s="10" t="inlineStr">
        <is>
          <t>B13016_002E</t>
        </is>
      </c>
      <c r="E55" s="10" t="inlineStr">
        <is>
          <t>Mujeres de 15 a 50 años que tuvieron un nacimiento en los últimos 12 meses</t>
        </is>
      </c>
      <c r="F55" s="10" t="inlineStr">
        <is>
          <t>Entero</t>
        </is>
      </c>
      <c r="G55" s="10" t="inlineStr">
        <is>
          <t>mujeres con un nacimiento en 12 meses</t>
        </is>
      </c>
      <c r="H55" s="10" t="inlineStr">
        <is>
          <t>40027</t>
        </is>
      </c>
      <c r="I55" s="10" t="inlineStr">
        <is>
          <t>No</t>
        </is>
      </c>
      <c r="J55" s="10" t="inlineStr">
        <is>
          <t>&gt; 0 y ≤ mujeres_15_50</t>
        </is>
      </c>
      <c r="K55" s="10" t="inlineStr">
        <is>
          <t>Pública</t>
        </is>
      </c>
      <c r="L55" s="10" t="inlineStr">
        <is>
          <t>Se toma tal cual; es una estimación con margen de error</t>
        </is>
      </c>
      <c r="M55" s="10" t="inlineStr">
        <is>
          <t>¿Cuánta gente vive en Los Ángeles y cómo cambia?</t>
        </is>
      </c>
    </row>
    <row r="56">
      <c r="A56" s="10" t="inlineStr">
        <is>
          <t>F07</t>
        </is>
      </c>
      <c r="B56" s="10" t="inlineStr">
        <is>
          <t>lago/demografia.json</t>
        </is>
      </c>
      <c r="C56" s="10" t="inlineStr">
        <is>
          <t>natalidad_por_ambito.nacimientos_por_1000</t>
        </is>
      </c>
      <c r="D56" s="10" t="inlineStr">
        <is>
          <t>B13016_002E / B13016_001E</t>
        </is>
      </c>
      <c r="E56" s="10" t="inlineStr">
        <is>
          <t>Nacimientos por 1.000 mujeres de 15 a 50 años</t>
        </is>
      </c>
      <c r="F56" s="10" t="inlineStr">
        <is>
          <t>Decimal</t>
        </is>
      </c>
      <c r="G56" s="10" t="inlineStr">
        <is>
          <t>nacimientos por 1.000 mujeres de 15 a 50 años</t>
        </is>
      </c>
      <c r="H56" s="10" t="inlineStr">
        <is>
          <t>39.5</t>
        </is>
      </c>
      <c r="I56" s="10" t="inlineStr">
        <is>
          <t>No</t>
        </is>
      </c>
      <c r="J56" s="10" t="inlineStr">
        <is>
          <t>10 a 100; la verificación lo recalcula</t>
        </is>
      </c>
      <c r="K56" s="10" t="inlineStr">
        <is>
          <t>Pública</t>
        </is>
      </c>
      <c r="L56" s="10" t="inlineStr">
        <is>
          <t>nacimientos / mujeres × 1.000, un decimal</t>
        </is>
      </c>
      <c r="M56" s="10" t="inlineStr">
        <is>
          <t>¿Cuánta gente vive en Los Ángeles y cómo cambia?</t>
        </is>
      </c>
    </row>
    <row r="57">
      <c r="A57" s="10" t="inlineStr">
        <is>
          <t>F07</t>
        </is>
      </c>
      <c r="B57" s="10" t="inlineStr">
        <is>
          <t>lago/demografia.json</t>
        </is>
      </c>
      <c r="C57" s="10" t="inlineStr">
        <is>
          <t>natalidad_serie_ciudad.periodo</t>
        </is>
      </c>
      <c r="D57" s="10" t="inlineStr">
        <is>
          <t>— (año del lanzamiento del ACS)</t>
        </is>
      </c>
      <c r="E57" s="10" t="inlineStr">
        <is>
          <t>Ventana de cinco años de cada lanzamiento del ACS (p. ej. 2020-2024)</t>
        </is>
      </c>
      <c r="F57" s="10" t="inlineStr">
        <is>
          <t>Texto</t>
        </is>
      </c>
      <c r="G57" s="10" t="inlineStr">
        <is>
          <t>años</t>
        </is>
      </c>
      <c r="H57" s="10" t="inlineStr">
        <is>
          <t>2020-2024</t>
        </is>
      </c>
      <c r="I57" s="10" t="inlineStr">
        <is>
          <t>No</t>
        </is>
      </c>
      <c r="J57" s="10" t="inlineStr">
        <is>
          <t>Sin repetir y en orden</t>
        </is>
      </c>
      <c r="K57" s="10" t="inlineStr">
        <is>
          <t>Pública</t>
        </is>
      </c>
      <c r="L57" s="10" t="inlineStr">
        <is>
          <t>Año final del lanzamiento menos cuatro, hasta el año final; una fila por lanzamiento 2010 a 2024</t>
        </is>
      </c>
      <c r="M57" s="10" t="inlineStr">
        <is>
          <t>¿Cuánta gente vive en Los Ángeles y cómo cambia?</t>
        </is>
      </c>
    </row>
    <row r="58">
      <c r="A58" s="10" t="inlineStr">
        <is>
          <t>F07</t>
        </is>
      </c>
      <c r="B58" s="10" t="inlineStr">
        <is>
          <t>lago/demografia.json</t>
        </is>
      </c>
      <c r="C58" s="10" t="inlineStr">
        <is>
          <t>natalidad_serie_ciudad.mujeres_15_50</t>
        </is>
      </c>
      <c r="D58" s="10" t="inlineStr">
        <is>
          <t>B13016_001E</t>
        </is>
      </c>
      <c r="E58" s="10" t="inlineStr">
        <is>
          <t>Mujeres de 15 a 50 años en la ciudad en ese lanzamiento</t>
        </is>
      </c>
      <c r="F58" s="10" t="inlineStr">
        <is>
          <t>Entero</t>
        </is>
      </c>
      <c r="G58" s="10" t="inlineStr">
        <is>
          <t>mujeres</t>
        </is>
      </c>
      <c r="H58" s="10" t="inlineStr">
        <is>
          <t>1012365</t>
        </is>
      </c>
      <c r="I58" s="10" t="inlineStr">
        <is>
          <t>No</t>
        </is>
      </c>
      <c r="J58" s="10" t="inlineStr">
        <is>
          <t>&gt; 0</t>
        </is>
      </c>
      <c r="K58" s="10" t="inlineStr">
        <is>
          <t>Pública</t>
        </is>
      </c>
      <c r="L58" s="10" t="inlineStr">
        <is>
          <t>Se toma tal cual; las ventanas se traslapan</t>
        </is>
      </c>
      <c r="M58" s="10" t="inlineStr">
        <is>
          <t>¿Cuánta gente vive en Los Ángeles y cómo cambia?</t>
        </is>
      </c>
    </row>
    <row r="59">
      <c r="A59" s="10" t="inlineStr">
        <is>
          <t>F07</t>
        </is>
      </c>
      <c r="B59" s="10" t="inlineStr">
        <is>
          <t>lago/demografia.json</t>
        </is>
      </c>
      <c r="C59" s="10" t="inlineStr">
        <is>
          <t>natalidad_serie_ciudad.nacimientos</t>
        </is>
      </c>
      <c r="D59" s="10" t="inlineStr">
        <is>
          <t>B13016_002E</t>
        </is>
      </c>
      <c r="E59" s="10" t="inlineStr">
        <is>
          <t>Mujeres con un nacimiento en los últimos 12 meses en la ciudad en ese lanzamiento</t>
        </is>
      </c>
      <c r="F59" s="10" t="inlineStr">
        <is>
          <t>Entero</t>
        </is>
      </c>
      <c r="G59" s="10" t="inlineStr">
        <is>
          <t>mujeres con un nacimiento en 12 meses</t>
        </is>
      </c>
      <c r="H59" s="10" t="inlineStr">
        <is>
          <t>40027</t>
        </is>
      </c>
      <c r="I59" s="10" t="inlineStr">
        <is>
          <t>No</t>
        </is>
      </c>
      <c r="J59" s="10" t="inlineStr">
        <is>
          <t>&gt; 0</t>
        </is>
      </c>
      <c r="K59" s="10" t="inlineStr">
        <is>
          <t>Pública</t>
        </is>
      </c>
      <c r="L59" s="10" t="inlineStr">
        <is>
          <t>Se toma tal cual; las ventanas se traslapan</t>
        </is>
      </c>
      <c r="M59" s="10" t="inlineStr">
        <is>
          <t>¿Cuánta gente vive en Los Ángeles y cómo cambia?</t>
        </is>
      </c>
    </row>
    <row r="60">
      <c r="A60" s="10" t="inlineStr">
        <is>
          <t>F07</t>
        </is>
      </c>
      <c r="B60" s="10" t="inlineStr">
        <is>
          <t>lago/demografia.json</t>
        </is>
      </c>
      <c r="C60" s="10" t="inlineStr">
        <is>
          <t>natalidad_serie_ciudad.nacimientos_por_1000</t>
        </is>
      </c>
      <c r="D60" s="10" t="inlineStr">
        <is>
          <t>B13016_002E / B13016_001E</t>
        </is>
      </c>
      <c r="E60" s="10" t="inlineStr">
        <is>
          <t>Nacimientos por 1.000 mujeres de 15 a 50 años en la ciudad en ese lanzamiento</t>
        </is>
      </c>
      <c r="F60" s="10" t="inlineStr">
        <is>
          <t>Decimal</t>
        </is>
      </c>
      <c r="G60" s="10" t="inlineStr">
        <is>
          <t>nacimientos por 1.000 mujeres de 15 a 50 años</t>
        </is>
      </c>
      <c r="H60" s="10" t="inlineStr">
        <is>
          <t>39.5</t>
        </is>
      </c>
      <c r="I60" s="10" t="inlineStr">
        <is>
          <t>No</t>
        </is>
      </c>
      <c r="J60" s="10" t="inlineStr">
        <is>
          <t>10 a 100; el último punto es igual al de natalidad_por_ambito</t>
        </is>
      </c>
      <c r="K60" s="10" t="inlineStr">
        <is>
          <t>Pública</t>
        </is>
      </c>
      <c r="L60" s="10" t="inlineStr">
        <is>
          <t>nacimientos / mujeres × 1.000, un decimal</t>
        </is>
      </c>
      <c r="M60" s="10" t="inlineStr">
        <is>
          <t>¿Cuánta gente vive en Los Ángeles y cómo cambia?</t>
        </is>
      </c>
    </row>
    <row r="61">
      <c r="A61" s="10" t="inlineStr">
        <is>
          <t>F07</t>
        </is>
      </c>
      <c r="B61" s="10" t="inlineStr">
        <is>
          <t>lago/demografia.json</t>
        </is>
      </c>
      <c r="C61" s="10" t="inlineStr">
        <is>
          <t>poblacion_por_distrito.cd</t>
        </is>
      </c>
      <c r="D61" s="10" t="inlineStr">
        <is>
          <t>— (distrito asignado)</t>
        </is>
      </c>
      <c r="E61" s="10" t="inlineStr">
        <is>
          <t>Número del distrito de consejo al que se asigna el sector censal</t>
        </is>
      </c>
      <c r="F61" s="10" t="inlineStr">
        <is>
          <t>Código</t>
        </is>
      </c>
      <c r="G61" s="10" t="inlineStr">
        <is>
          <t>—</t>
        </is>
      </c>
      <c r="H61" s="10" t="inlineStr">
        <is>
          <t>1</t>
        </is>
      </c>
      <c r="I61" s="10" t="inlineStr">
        <is>
          <t>No</t>
        </is>
      </c>
      <c r="J61" s="10" t="inlineStr">
        <is>
          <t>1 a 15</t>
        </is>
      </c>
      <c r="K61" s="10" t="inlineStr">
        <is>
          <t>Pública</t>
        </is>
      </c>
      <c r="L61" s="10" t="inlineStr">
        <is>
          <t>Punto interno del sector censal dentro del polígono del distrito (límites completos de F12)</t>
        </is>
      </c>
      <c r="M61" s="10" t="inlineStr">
        <is>
          <t>¿Cómo se comparan los 15 distritos de consejo entre sí?</t>
        </is>
      </c>
    </row>
    <row r="62">
      <c r="A62" s="10" t="inlineStr">
        <is>
          <t>F07</t>
        </is>
      </c>
      <c r="B62" s="10" t="inlineStr">
        <is>
          <t>lago/demografia.json</t>
        </is>
      </c>
      <c r="C62" s="10" t="inlineStr">
        <is>
          <t>poblacion_por_distrito.poblacion</t>
        </is>
      </c>
      <c r="D62" s="10" t="inlineStr">
        <is>
          <t>B01003_001E</t>
        </is>
      </c>
      <c r="E62" s="10" t="inlineStr">
        <is>
          <t>Habitantes del distrito: suma de la población de los sectores censales asignados</t>
        </is>
      </c>
      <c r="F62" s="10" t="inlineStr">
        <is>
          <t>Entero</t>
        </is>
      </c>
      <c r="G62" s="10" t="inlineStr">
        <is>
          <t>habitantes</t>
        </is>
      </c>
      <c r="H62" s="10" t="inlineStr">
        <is>
          <t>251726</t>
        </is>
      </c>
      <c r="I62" s="10" t="inlineStr">
        <is>
          <t>No</t>
        </is>
      </c>
      <c r="J62" s="10" t="inlineStr">
        <is>
          <t>200.000 a 300.000; la suma queda a ±2 % de la ciudad</t>
        </is>
      </c>
      <c r="K62" s="10" t="inlineStr">
        <is>
          <t>Pública</t>
        </is>
      </c>
      <c r="L62" s="10" t="inlineStr">
        <is>
          <t>Suma por distrito de B01003_001E del condado 037; error por sectores partidos explicado en la nota de la tabla</t>
        </is>
      </c>
      <c r="M62" s="10" t="inlineStr">
        <is>
          <t>¿Cómo se comparan los 15 distritos de consejo entre sí?</t>
        </is>
      </c>
    </row>
    <row r="63">
      <c r="A63" s="10" t="inlineStr">
        <is>
          <t>F07</t>
        </is>
      </c>
      <c r="B63" s="10" t="inlineStr">
        <is>
          <t>lago/demografia.json</t>
        </is>
      </c>
      <c r="C63" s="10" t="inlineStr">
        <is>
          <t>poblacion_por_distrito.sectores_censales</t>
        </is>
      </c>
      <c r="D63" s="10" t="inlineStr">
        <is>
          <t>— (conteo propio)</t>
        </is>
      </c>
      <c r="E63" s="10" t="inlineStr">
        <is>
          <t>Cantidad de sectores censales asignados al distrito</t>
        </is>
      </c>
      <c r="F63" s="10" t="inlineStr">
        <is>
          <t>Entero</t>
        </is>
      </c>
      <c r="G63" s="10" t="inlineStr">
        <is>
          <t>sectores censales</t>
        </is>
      </c>
      <c r="H63" s="10" t="inlineStr">
        <is>
          <t>79</t>
        </is>
      </c>
      <c r="I63" s="10" t="inlineStr">
        <is>
          <t>No</t>
        </is>
      </c>
      <c r="J63" s="10" t="inlineStr">
        <is>
          <t>&gt; 0</t>
        </is>
      </c>
      <c r="K63" s="10" t="inlineStr">
        <is>
          <t>Pública</t>
        </is>
      </c>
      <c r="L63" s="10" t="inlineStr">
        <is>
          <t>Conteo de sectores cuyo punto interno cae en el distrito</t>
        </is>
      </c>
      <c r="M63" s="10" t="inlineStr">
        <is>
          <t>¿Cómo se comparan los 15 distritos de consejo entre sí?</t>
        </is>
      </c>
    </row>
    <row r="64">
      <c r="A64" s="10" t="inlineStr">
        <is>
          <t>F03</t>
        </is>
      </c>
      <c r="B64" s="10" t="inlineStr">
        <is>
          <t>lago/municipio.json</t>
        </is>
      </c>
      <c r="C64" s="10" t="inlineStr">
        <is>
          <t>solicitudes_por_distrito.solicitudes_por_10mil</t>
        </is>
      </c>
      <c r="D64" s="10" t="inlineStr">
        <is>
          <t>count(casenumber) / B01003_001E</t>
        </is>
      </c>
      <c r="E64" s="10" t="inlineStr">
        <is>
          <t>Solicitudes del periodo por cada 10.000 habitantes del distrito</t>
        </is>
      </c>
      <c r="F64" s="10" t="inlineStr">
        <is>
          <t>Decimal</t>
        </is>
      </c>
      <c r="G64" s="10" t="inlineStr">
        <is>
          <t>solicitudes por 10.000 habitantes</t>
        </is>
      </c>
      <c r="H64" s="10" t="inlineStr">
        <is>
          <t>6658.4</t>
        </is>
      </c>
      <c r="I64" s="10" t="inlineStr">
        <is>
          <t>No</t>
        </is>
      </c>
      <c r="J64" s="10" t="inlineStr">
        <is>
          <t>La verificación lo recalcula con poblacion_por_distrito</t>
        </is>
      </c>
      <c r="K64" s="10" t="inlineStr">
        <is>
          <t>Pública</t>
        </is>
      </c>
      <c r="L64" s="10" t="inlineStr">
        <is>
          <t>solicitudes / población del distrito × 10.000, un decimal</t>
        </is>
      </c>
      <c r="M64" s="10" t="inlineStr">
        <is>
          <t>¿Qué le piden los vecinos a la ciudad, en qué distritos y cuánto se resuelve?</t>
        </is>
      </c>
    </row>
    <row r="65">
      <c r="A65" s="10" t="inlineStr">
        <is>
          <t>F04</t>
        </is>
      </c>
      <c r="B65" s="10" t="inlineStr">
        <is>
          <t>lago/vivienda.json</t>
        </is>
      </c>
      <c r="C65" s="10" t="inlineStr">
        <is>
          <t>permisos_por_distrito.permisos_por_10mil</t>
        </is>
      </c>
      <c r="D65" s="10" t="inlineStr">
        <is>
          <t>count(*) / B01003_001E</t>
        </is>
      </c>
      <c r="E65" s="10" t="inlineStr">
        <is>
          <t>Permisos emitidos en 12 meses por cada 10.000 habitantes del distrito</t>
        </is>
      </c>
      <c r="F65" s="10" t="inlineStr">
        <is>
          <t>Decimal</t>
        </is>
      </c>
      <c r="G65" s="10" t="inlineStr">
        <is>
          <t>permisos por 10.000 habitantes</t>
        </is>
      </c>
      <c r="H65" s="10" t="inlineStr">
        <is>
          <t>86.6</t>
        </is>
      </c>
      <c r="I65" s="10" t="inlineStr">
        <is>
          <t>No</t>
        </is>
      </c>
      <c r="J65" s="10" t="inlineStr">
        <is>
          <t>La verificación lo recalcula con poblacion_por_distrito</t>
        </is>
      </c>
      <c r="K65" s="10" t="inlineStr">
        <is>
          <t>Pública</t>
        </is>
      </c>
      <c r="L65" s="10" t="inlineStr">
        <is>
          <t>permisos / población del distrito × 10.000, un decimal</t>
        </is>
      </c>
      <c r="M65" s="10" t="inlineStr">
        <is>
          <t>¿Dónde se construye y cuánta vivienda se suma?</t>
        </is>
      </c>
    </row>
    <row r="66">
      <c r="A66" s="10" t="inlineStr">
        <is>
          <t>F04</t>
        </is>
      </c>
      <c r="B66" s="10" t="inlineStr">
        <is>
          <t>lago/vivienda.json</t>
        </is>
      </c>
      <c r="C66" s="10" t="inlineStr">
        <is>
          <t>permisos_por_distrito.unidades_netas_por_10mil</t>
        </is>
      </c>
      <c r="D66" s="10" t="inlineStr">
        <is>
          <t>du_changed / B01003_001E</t>
        </is>
      </c>
      <c r="E66" s="10" t="inlineStr">
        <is>
          <t>Unidades de vivienda netas de 12 meses por cada 10.000 habitantes del distrito</t>
        </is>
      </c>
      <c r="F66" s="10" t="inlineStr">
        <is>
          <t>Decimal</t>
        </is>
      </c>
      <c r="G66" s="10" t="inlineStr">
        <is>
          <t>unidades netas por 10.000 habitantes</t>
        </is>
      </c>
      <c r="H66" s="10" t="inlineStr">
        <is>
          <t>29.0</t>
        </is>
      </c>
      <c r="I66" s="10" t="inlineStr">
        <is>
          <t>No</t>
        </is>
      </c>
      <c r="J66" s="10" t="inlineStr">
        <is>
          <t>La verificación lo recalcula con poblacion_por_distrito</t>
        </is>
      </c>
      <c r="K66" s="10" t="inlineStr">
        <is>
          <t>Pública</t>
        </is>
      </c>
      <c r="L66" s="10" t="inlineStr">
        <is>
          <t>unidades netas / población del distrito × 10.000, un decimal</t>
        </is>
      </c>
      <c r="M66" s="10" t="inlineStr">
        <is>
          <t>¿Dónde se construye y cuánta vivienda se suma?</t>
        </is>
      </c>
    </row>
    <row r="67">
      <c r="A67" s="10" t="inlineStr">
        <is>
          <t xml:space="preserve">F01</t>
        </is>
      </c>
      <c r="B67" s="10" t="inlineStr">
        <is>
          <t xml:space="preserve">lago/seguridad.json</t>
        </is>
      </c>
      <c r="C67" s="10" t="inlineStr">
        <is>
          <t xml:space="preserve">delitos_por_area.area</t>
        </is>
      </c>
      <c r="D67" s="10" t="inlineStr">
        <is>
          <t xml:space="preserve">area</t>
        </is>
      </c>
      <c r="E67" s="10" t="inlineStr">
        <is>
          <t xml:space="preserve">Código del área de LAPD</t>
        </is>
      </c>
      <c r="F67" s="10" t="inlineStr">
        <is>
          <t xml:space="preserve">Código</t>
        </is>
      </c>
      <c r="G67" s="10" t="inlineStr">
        <is>
          <t xml:space="preserve">—</t>
        </is>
      </c>
      <c r="H67" s="10" t="inlineStr">
        <is>
          <t xml:space="preserve">1</t>
        </is>
      </c>
      <c r="I67" s="10" t="inlineStr">
        <is>
          <t xml:space="preserve">No</t>
        </is>
      </c>
      <c r="J67" s="10" t="inlineStr">
        <is>
          <t xml:space="preserve">1 a 21; coincide con PREC de F18</t>
        </is>
      </c>
      <c r="K67" s="10" t="inlineStr">
        <is>
          <t xml:space="preserve">Pública</t>
        </is>
      </c>
      <c r="L67" s="10" t="inlineStr">
        <is>
          <t xml:space="preserve">Texto a entero; se agrupa en el servidor por area y area_name</t>
        </is>
      </c>
      <c r="M67" s="10" t="inlineStr">
        <is>
          <t xml:space="preserve">¿Dónde se concentran los delitos y cómo evolucionan mes a mes?</t>
        </is>
      </c>
    </row>
    <row r="68">
      <c r="A68" s="10" t="inlineStr">
        <is>
          <t xml:space="preserve">F07</t>
        </is>
      </c>
      <c r="B68" s="10" t="inlineStr">
        <is>
          <t xml:space="preserve">lago/seguridad.json</t>
        </is>
      </c>
      <c r="C68" s="10" t="inlineStr">
        <is>
          <t xml:space="preserve">delitos_por_area.poblacion</t>
        </is>
      </c>
      <c r="D68" s="10" t="inlineStr">
        <is>
          <t xml:space="preserve">B01003_001E</t>
        </is>
      </c>
      <c r="E68" s="10" t="inlineStr">
        <is>
          <t xml:space="preserve">Habitantes del área de LAPD (sectores censales por punto interno)</t>
        </is>
      </c>
      <c r="F68" s="10" t="inlineStr">
        <is>
          <t xml:space="preserve">Entero</t>
        </is>
      </c>
      <c r="G68" s="10" t="inlineStr">
        <is>
          <t xml:space="preserve">habitantes</t>
        </is>
      </c>
      <c r="H68" s="10" t="inlineStr">
        <is>
          <t xml:space="preserve">80445</t>
        </is>
      </c>
      <c r="I68" s="10" t="inlineStr">
        <is>
          <t xml:space="preserve">No</t>
        </is>
      </c>
      <c r="J68" s="10" t="inlineStr">
        <is>
          <t xml:space="preserve">Suma de las 21 áreas a ±1 % de la ciudad en el mismo ACS</t>
        </is>
      </c>
      <c r="K68" s="10" t="inlineStr">
        <is>
          <t xml:space="preserve">Pública</t>
        </is>
      </c>
      <c r="L68" s="10" t="inlineStr">
        <is>
          <t xml:space="preserve">Suma de sectores cuyo punto interno cae en el área (límites completos de F18)</t>
        </is>
      </c>
      <c r="M68" s="10" t="inlineStr">
        <is>
          <t xml:space="preserve">¿Dónde se concentran los delitos y cómo evolucionan mes a mes?</t>
        </is>
      </c>
    </row>
    <row r="69">
      <c r="A69" s="10" t="inlineStr">
        <is>
          <t xml:space="preserve">F01</t>
        </is>
      </c>
      <c r="B69" s="10" t="inlineStr">
        <is>
          <t xml:space="preserve">lago/seguridad.json</t>
        </is>
      </c>
      <c r="C69" s="10" t="inlineStr">
        <is>
          <t xml:space="preserve">delitos_por_area.delitos_por_10mil</t>
        </is>
      </c>
      <c r="D69" s="10" t="inlineStr">
        <is>
          <t xml:space="preserve">count(*) / B01003_001E</t>
        </is>
      </c>
      <c r="E69" s="10" t="inlineStr">
        <is>
          <t xml:space="preserve">Ofensas de 12 meses por cada 10.000 habitantes del área</t>
        </is>
      </c>
      <c r="F69" s="10" t="inlineStr">
        <is>
          <t xml:space="preserve">Decimal</t>
        </is>
      </c>
      <c r="G69" s="10" t="inlineStr">
        <is>
          <t xml:space="preserve">ofensas por 10.000 habitantes</t>
        </is>
      </c>
      <c r="H69" s="10" t="inlineStr">
        <is>
          <t xml:space="preserve">2393.3</t>
        </is>
      </c>
      <c r="I69" s="10" t="inlineStr">
        <is>
          <t xml:space="preserve">No</t>
        </is>
      </c>
      <c r="J69" s="10" t="inlineStr">
        <is>
          <t xml:space="preserve">La verificación lo recalcula</t>
        </is>
      </c>
      <c r="K69" s="10" t="inlineStr">
        <is>
          <t xml:space="preserve">Pública</t>
        </is>
      </c>
      <c r="L69" s="10" t="inlineStr">
        <is>
          <t xml:space="preserve">ofensas / población del área × 10.000, un decimal</t>
        </is>
      </c>
      <c r="M69" s="10" t="inlineStr">
        <is>
          <t xml:space="preserve">¿Dónde se concentran los delitos y cómo evolucionan mes a mes?</t>
        </is>
      </c>
    </row>
    <row r="70">
      <c r="A70" s="10" t="inlineStr">
        <is>
          <t xml:space="preserve">F01</t>
        </is>
      </c>
      <c r="B70" s="10" t="inlineStr">
        <is>
          <t xml:space="preserve">lago/seguridad.json</t>
        </is>
      </c>
      <c r="C70" s="10" t="inlineStr">
        <is>
          <t xml:space="preserve">delitos_por_distrito_reporte.rd</t>
        </is>
      </c>
      <c r="D70" s="10" t="inlineStr">
        <is>
          <t xml:space="preserve">rpt_dist_no</t>
        </is>
      </c>
      <c r="E70" s="10" t="inlineStr">
        <is>
          <t xml:space="preserve">Código del distrito de reporte de LAPD</t>
        </is>
      </c>
      <c r="F70" s="10" t="inlineStr">
        <is>
          <t xml:space="preserve">Código</t>
        </is>
      </c>
      <c r="G70" s="10" t="inlineStr">
        <is>
          <t xml:space="preserve">—</t>
        </is>
      </c>
      <c r="H70" s="10" t="inlineStr">
        <is>
          <t xml:space="preserve">0101</t>
        </is>
      </c>
      <c r="I70" s="10" t="inlineStr">
        <is>
          <t xml:space="preserve">No</t>
        </is>
      </c>
      <c r="J70" s="10" t="inlineStr">
        <is>
          <t xml:space="preserve">4 dígitos; los dos primeros son el área</t>
        </is>
      </c>
      <c r="K70" s="10" t="inlineStr">
        <is>
          <t xml:space="preserve">Pública</t>
        </is>
      </c>
      <c r="L70" s="10" t="inlineStr">
        <is>
          <t xml:space="preserve">Se completa con ceros a 4 dígitos para cruzar con REPDIST de F19</t>
        </is>
      </c>
      <c r="M70" s="10" t="inlineStr">
        <is>
          <t xml:space="preserve">¿Dónde se concentran los delitos y cómo evolucionan mes a mes?</t>
        </is>
      </c>
    </row>
    <row r="71">
      <c r="A71" s="10" t="inlineStr">
        <is>
          <t xml:space="preserve">F19</t>
        </is>
      </c>
      <c r="B71" s="10" t="inlineStr">
        <is>
          <t xml:space="preserve">lago/seguridad.json</t>
        </is>
      </c>
      <c r="C71" s="10" t="inlineStr">
        <is>
          <t xml:space="preserve">delitos_por_distrito_reporte.area</t>
        </is>
      </c>
      <c r="D71" s="10" t="inlineStr">
        <is>
          <t xml:space="preserve">PREC (F19) / area (F01)</t>
        </is>
      </c>
      <c r="E71" s="10" t="inlineStr">
        <is>
          <t xml:space="preserve">Área de LAPD a la que pertenece el distrito</t>
        </is>
      </c>
      <c r="F71" s="10" t="inlineStr">
        <is>
          <t xml:space="preserve">Código</t>
        </is>
      </c>
      <c r="G71" s="10" t="inlineStr">
        <is>
          <t xml:space="preserve">—</t>
        </is>
      </c>
      <c r="H71" s="10" t="inlineStr">
        <is>
          <t xml:space="preserve">1</t>
        </is>
      </c>
      <c r="I71" s="10" t="inlineStr">
        <is>
          <t xml:space="preserve">No</t>
        </is>
      </c>
      <c r="J71" s="10" t="inlineStr">
        <is>
          <t xml:space="preserve">1 a 21; igual a rd // 100 si el distrito está en la capa</t>
        </is>
      </c>
      <c r="K71" s="10" t="inlineStr">
        <is>
          <t xml:space="preserve">Pública</t>
        </is>
      </c>
      <c r="L71" s="10" t="inlineStr">
        <is>
          <t xml:space="preserve">Se toma de F19; si el código no tiene polígono, de F01</t>
        </is>
      </c>
      <c r="M71" s="10" t="inlineStr">
        <is>
          <t xml:space="preserve">¿Dónde se concentran los delitos y cómo evolucionan mes a mes?</t>
        </is>
      </c>
    </row>
    <row r="72">
      <c r="A72" s="10" t="inlineStr">
        <is>
          <t xml:space="preserve">F01</t>
        </is>
      </c>
      <c r="B72" s="10" t="inlineStr">
        <is>
          <t xml:space="preserve">lago/seguridad.json</t>
        </is>
      </c>
      <c r="C72" s="10" t="inlineStr">
        <is>
          <t xml:space="preserve">delitos_por_distrito_reporte.delitos_12m</t>
        </is>
      </c>
      <c r="D72" s="10" t="inlineStr">
        <is>
          <t xml:space="preserve">count(*)</t>
        </is>
      </c>
      <c r="E72" s="10" t="inlineStr">
        <is>
          <t xml:space="preserve">Ofensas de 12 meses en el distrito de reporte</t>
        </is>
      </c>
      <c r="F72" s="10" t="inlineStr">
        <is>
          <t xml:space="preserve">Entero</t>
        </is>
      </c>
      <c r="G72" s="10" t="inlineStr">
        <is>
          <t xml:space="preserve">ofensas registradas (NIBRS)</t>
        </is>
      </c>
      <c r="H72" s="10" t="inlineStr">
        <is>
          <t xml:space="preserve">225</t>
        </is>
      </c>
      <c r="I72" s="10" t="inlineStr">
        <is>
          <t xml:space="preserve">Sí</t>
        </is>
      </c>
      <c r="J72" s="10" t="inlineStr">
        <is>
          <t xml:space="preserve">0 o 10 en adelante; null si está suprimido (nunca 1 a 9)</t>
        </is>
      </c>
      <c r="K72" s="10" t="inlineStr">
        <is>
          <t xml:space="preserve">Sensible</t>
        </is>
      </c>
      <c r="L72" s="10" t="inlineStr">
        <is>
          <t xml:space="preserve">Conteo en el servidor; de 1 a 9 se guarda null (supresión), más la complementaria por área</t>
        </is>
      </c>
      <c r="M72" s="10" t="inlineStr">
        <is>
          <t xml:space="preserve">¿Dónde se concentran los delitos y cómo evolucionan mes a mes?</t>
        </is>
      </c>
    </row>
    <row r="73">
      <c r="A73" s="10" t="inlineStr">
        <is>
          <t xml:space="preserve">F01</t>
        </is>
      </c>
      <c r="B73" s="10" t="inlineStr">
        <is>
          <t xml:space="preserve">lago/seguridad.json</t>
        </is>
      </c>
      <c r="C73" s="10" t="inlineStr">
        <is>
          <t xml:space="preserve">delitos_por_distrito_reporte.suprimido</t>
        </is>
      </c>
      <c r="D73" s="10" t="inlineStr">
        <is>
          <t xml:space="preserve">(no viene de la fuente)</t>
        </is>
      </c>
      <c r="E73" s="10" t="inlineStr">
        <is>
          <t xml:space="preserve">Si la celda se ocultó por la regla de menos de 10</t>
        </is>
      </c>
      <c r="F73" s="10" t="inlineStr">
        <is>
          <t xml:space="preserve">Booleano</t>
        </is>
      </c>
      <c r="G73" s="10" t="inlineStr">
        <is>
          <t xml:space="preserve">—</t>
        </is>
      </c>
      <c r="H73" s="10" t="inlineStr">
        <is>
          <t xml:space="preserve">false</t>
        </is>
      </c>
      <c r="I73" s="10" t="inlineStr">
        <is>
          <t xml:space="preserve">No</t>
        </is>
      </c>
      <c r="J73" s="10" t="inlineStr">
        <is>
          <t xml:space="preserve">true si y solo si delitos_12m es null</t>
        </is>
      </c>
      <c r="K73" s="10" t="inlineStr">
        <is>
          <t xml:space="preserve">Interna</t>
        </is>
      </c>
      <c r="L73" s="10" t="inlineStr">
        <is>
          <t xml:space="preserve">Lo calcula pull_seguridad.py con la regla de supresión</t>
        </is>
      </c>
      <c r="M73" s="10" t="inlineStr">
        <is>
          <t xml:space="preserve">¿Dónde se concentran los delitos y cómo evolucionan mes a mes?</t>
        </is>
      </c>
    </row>
    <row r="74">
      <c r="A74" s="10" t="inlineStr">
        <is>
          <t xml:space="preserve">F19</t>
        </is>
      </c>
      <c r="B74" s="10" t="inlineStr">
        <is>
          <t xml:space="preserve">lago/seguridad.json</t>
        </is>
      </c>
      <c r="C74" s="10" t="inlineStr">
        <is>
          <t xml:space="preserve">delitos_por_distrito_reporte.en_capa</t>
        </is>
      </c>
      <c r="D74" s="10" t="inlineStr">
        <is>
          <t xml:space="preserve">(no viene de la fuente)</t>
        </is>
      </c>
      <c r="E74" s="10" t="inlineStr">
        <is>
          <t xml:space="preserve">Si el código de F01 tiene polígono en F19</t>
        </is>
      </c>
      <c r="F74" s="10" t="inlineStr">
        <is>
          <t xml:space="preserve">Booleano</t>
        </is>
      </c>
      <c r="G74" s="10" t="inlineStr">
        <is>
          <t xml:space="preserve">—</t>
        </is>
      </c>
      <c r="H74" s="10" t="inlineStr">
        <is>
          <t xml:space="preserve">true</t>
        </is>
      </c>
      <c r="I74" s="10" t="inlineStr">
        <is>
          <t xml:space="preserve">No</t>
        </is>
      </c>
      <c r="J74" s="10" t="inlineStr">
        <is>
          <t xml:space="preserve">8 códigos de F01 sin polígono quedan en false</t>
        </is>
      </c>
      <c r="K74" s="10" t="inlineStr">
        <is>
          <t xml:space="preserve">Interna</t>
        </is>
      </c>
      <c r="L74" s="10" t="inlineStr">
        <is>
          <t xml:space="preserve">Cruce de rpt_dist_no con REPDIST</t>
        </is>
      </c>
      <c r="M74" s="10" t="inlineStr">
        <is>
          <t xml:space="preserve">¿Dónde se concentran los delitos y cómo evolucionan mes a mes?</t>
        </is>
      </c>
    </row>
    <row r="75">
      <c r="A75" s="10" t="inlineStr">
        <is>
          <t xml:space="preserve">F07</t>
        </is>
      </c>
      <c r="B75" s="10" t="inlineStr">
        <is>
          <t xml:space="preserve">lago/demografia.json</t>
        </is>
      </c>
      <c r="C75" s="10" t="inlineStr">
        <is>
          <t xml:space="preserve">natalidad_por_distrito.cd</t>
        </is>
      </c>
      <c r="D75" s="10" t="inlineStr">
        <is>
          <t xml:space="preserve">—</t>
        </is>
      </c>
      <c r="E75" s="10" t="inlineStr">
        <is>
          <t xml:space="preserve">Número del distrito de consejo</t>
        </is>
      </c>
      <c r="F75" s="10" t="inlineStr">
        <is>
          <t xml:space="preserve">Código</t>
        </is>
      </c>
      <c r="G75" s="10" t="inlineStr">
        <is>
          <t xml:space="preserve">—</t>
        </is>
      </c>
      <c r="H75" s="10" t="inlineStr">
        <is>
          <t xml:space="preserve">1</t>
        </is>
      </c>
      <c r="I75" s="10" t="inlineStr">
        <is>
          <t xml:space="preserve">No</t>
        </is>
      </c>
      <c r="J75" s="10" t="inlineStr">
        <is>
          <t xml:space="preserve">1 a 15</t>
        </is>
      </c>
      <c r="K75" s="10" t="inlineStr">
        <is>
          <t xml:space="preserve">Pública</t>
        </is>
      </c>
      <c r="L75" s="10" t="inlineStr">
        <is>
          <t xml:space="preserve">Distrito del polígono de F12 que contiene el punto interno del sector</t>
        </is>
      </c>
      <c r="M75" s="10" t="inlineStr">
        <is>
          <t xml:space="preserve">¿Cuánta gente vive en Los Ángeles y cómo cambia?</t>
        </is>
      </c>
    </row>
    <row r="76">
      <c r="A76" s="10" t="inlineStr">
        <is>
          <t xml:space="preserve">F07</t>
        </is>
      </c>
      <c r="B76" s="10" t="inlineStr">
        <is>
          <t xml:space="preserve">lago/demografia.json</t>
        </is>
      </c>
      <c r="C76" s="10" t="inlineStr">
        <is>
          <t xml:space="preserve">natalidad_por_distrito.mujeres_15_50</t>
        </is>
      </c>
      <c r="D76" s="10" t="inlineStr">
        <is>
          <t xml:space="preserve">B13016_001E</t>
        </is>
      </c>
      <c r="E76" s="10" t="inlineStr">
        <is>
          <t xml:space="preserve">Mujeres de 15 a 50 años en el distrito</t>
        </is>
      </c>
      <c r="F76" s="10" t="inlineStr">
        <is>
          <t xml:space="preserve">Entero</t>
        </is>
      </c>
      <c r="G76" s="10" t="inlineStr">
        <is>
          <t xml:space="preserve">mujeres</t>
        </is>
      </c>
      <c r="H76" s="10" t="inlineStr">
        <is>
          <t xml:space="preserve">63516</t>
        </is>
      </c>
      <c r="I76" s="10" t="inlineStr">
        <is>
          <t xml:space="preserve">No</t>
        </is>
      </c>
      <c r="J76" s="10" t="inlineStr">
        <is>
          <t xml:space="preserve">Suma de los 15 a ±1 % de la ciudad en el mismo ACS</t>
        </is>
      </c>
      <c r="K76" s="10" t="inlineStr">
        <is>
          <t xml:space="preserve">Pública</t>
        </is>
      </c>
      <c r="L76" s="10" t="inlineStr">
        <is>
          <t xml:space="preserve">Suma de sectores por punto interno</t>
        </is>
      </c>
      <c r="M76" s="10" t="inlineStr">
        <is>
          <t xml:space="preserve">¿Cuánta gente vive en Los Ángeles y cómo cambia?</t>
        </is>
      </c>
    </row>
    <row r="77">
      <c r="A77" s="10" t="inlineStr">
        <is>
          <t xml:space="preserve">F07</t>
        </is>
      </c>
      <c r="B77" s="10" t="inlineStr">
        <is>
          <t xml:space="preserve">lago/demografia.json</t>
        </is>
      </c>
      <c r="C77" s="10" t="inlineStr">
        <is>
          <t xml:space="preserve">natalidad_por_distrito.nacimientos</t>
        </is>
      </c>
      <c r="D77" s="10" t="inlineStr">
        <is>
          <t xml:space="preserve">B13016_002E</t>
        </is>
      </c>
      <c r="E77" s="10" t="inlineStr">
        <is>
          <t xml:space="preserve">Mujeres del distrito con un nacimiento en los últimos 12 meses</t>
        </is>
      </c>
      <c r="F77" s="10" t="inlineStr">
        <is>
          <t xml:space="preserve">Entero</t>
        </is>
      </c>
      <c r="G77" s="10" t="inlineStr">
        <is>
          <t xml:space="preserve">mujeres con un nacimiento en 12 meses</t>
        </is>
      </c>
      <c r="H77" s="10" t="inlineStr">
        <is>
          <t xml:space="preserve">2659</t>
        </is>
      </c>
      <c r="I77" s="10" t="inlineStr">
        <is>
          <t xml:space="preserve">No</t>
        </is>
      </c>
      <c r="J77" s="10" t="inlineStr">
        <is>
          <t xml:space="preserve">Suma de los 15 a ±1 % de la ciudad en el mismo ACS</t>
        </is>
      </c>
      <c r="K77" s="10" t="inlineStr">
        <is>
          <t xml:space="preserve">Pública</t>
        </is>
      </c>
      <c r="L77" s="10" t="inlineStr">
        <is>
          <t xml:space="preserve">Suma de sectores por punto interno</t>
        </is>
      </c>
      <c r="M77" s="10" t="inlineStr">
        <is>
          <t xml:space="preserve">¿Cuánta gente vive en Los Ángeles y cómo cambia?</t>
        </is>
      </c>
    </row>
    <row r="78">
      <c r="A78" s="10" t="inlineStr">
        <is>
          <t xml:space="preserve">F07</t>
        </is>
      </c>
      <c r="B78" s="10" t="inlineStr">
        <is>
          <t xml:space="preserve">lago/demografia.json</t>
        </is>
      </c>
      <c r="C78" s="10" t="inlineStr">
        <is>
          <t xml:space="preserve">natalidad_por_distrito.nacimientos_por_1000</t>
        </is>
      </c>
      <c r="D78" s="10" t="inlineStr">
        <is>
          <t xml:space="preserve">B13016_002E / B13016_001E</t>
        </is>
      </c>
      <c r="E78" s="10" t="inlineStr">
        <is>
          <t xml:space="preserve">Nacimientos por 1.000 mujeres de 15 a 50 años en el distrito</t>
        </is>
      </c>
      <c r="F78" s="10" t="inlineStr">
        <is>
          <t xml:space="preserve">Decimal</t>
        </is>
      </c>
      <c r="G78" s="10" t="inlineStr">
        <is>
          <t xml:space="preserve">nacimientos por 1.000 mujeres de 15 a 50 años</t>
        </is>
      </c>
      <c r="H78" s="10" t="inlineStr">
        <is>
          <t xml:space="preserve">41.9</t>
        </is>
      </c>
      <c r="I78" s="10" t="inlineStr">
        <is>
          <t xml:space="preserve">No</t>
        </is>
      </c>
      <c r="J78" s="10" t="inlineStr">
        <is>
          <t xml:space="preserve">10 a 100; la verificación lo recalcula</t>
        </is>
      </c>
      <c r="K78" s="10" t="inlineStr">
        <is>
          <t xml:space="preserve">Pública</t>
        </is>
      </c>
      <c r="L78" s="10" t="inlineStr">
        <is>
          <t xml:space="preserve">nacimientos / mujeres × 1.000, un decimal</t>
        </is>
      </c>
      <c r="M78" s="10" t="inlineStr">
        <is>
          <t xml:space="preserve">¿Cuánta gente vive en Los Ángeles y cómo cambia?</t>
        </is>
      </c>
    </row>
    <row r="79">
      <c r="A79" s="10" t="inlineStr">
        <is>
          <t xml:space="preserve">F10</t>
        </is>
      </c>
      <c r="B79" s="10" t="inlineStr">
        <is>
          <t xml:space="preserve">lago/equipamientos.json</t>
        </is>
      </c>
      <c r="C79" s="10" t="inlineStr">
        <is>
          <t xml:space="preserve">equipamientos_por_distrito.cd</t>
        </is>
      </c>
      <c r="D79" s="10" t="inlineStr">
        <is>
          <t xml:space="preserve">—</t>
        </is>
      </c>
      <c r="E79" s="10" t="inlineStr">
        <is>
          <t xml:space="preserve">Número del distrito de consejo</t>
        </is>
      </c>
      <c r="F79" s="10" t="inlineStr">
        <is>
          <t xml:space="preserve">Código</t>
        </is>
      </c>
      <c r="G79" s="10" t="inlineStr">
        <is>
          <t xml:space="preserve">—</t>
        </is>
      </c>
      <c r="H79" s="10" t="inlineStr">
        <is>
          <t xml:space="preserve">1</t>
        </is>
      </c>
      <c r="I79" s="10" t="inlineStr">
        <is>
          <t xml:space="preserve">No</t>
        </is>
      </c>
      <c r="J79" s="10" t="inlineStr">
        <is>
          <t xml:space="preserve">1 a 15</t>
        </is>
      </c>
      <c r="K79" s="10" t="inlineStr">
        <is>
          <t xml:space="preserve">Pública</t>
        </is>
      </c>
      <c r="L79" s="10" t="inlineStr">
        <is>
          <t xml:space="preserve">Punto en polígono con los límites completos de F12, al ingerir</t>
        </is>
      </c>
      <c r="M79" s="10" t="inlineStr">
        <is>
          <t xml:space="preserve">¿Cómo se comparan los 15 distritos de consejo entre sí?</t>
        </is>
      </c>
    </row>
    <row r="80">
      <c r="A80" s="10" t="inlineStr">
        <is>
          <t xml:space="preserve">F10</t>
        </is>
      </c>
      <c r="B80" s="10" t="inlineStr">
        <is>
          <t xml:space="preserve">lago/equipamientos.json</t>
        </is>
      </c>
      <c r="C80" s="10" t="inlineStr">
        <is>
          <t xml:space="preserve">equipamientos_por_distrito.colegios</t>
        </is>
      </c>
      <c r="D80" s="10" t="inlineStr">
        <is>
          <t xml:space="preserve">amenity=school</t>
        </is>
      </c>
      <c r="E80" s="10" t="inlineStr">
        <is>
          <t xml:space="preserve">Elementos de OpenStreetMap (colegios) cuyo punto cae en el distrito</t>
        </is>
      </c>
      <c r="F80" s="10" t="inlineStr">
        <is>
          <t xml:space="preserve">Entero</t>
        </is>
      </c>
      <c r="G80" s="10" t="inlineStr">
        <is>
          <t xml:space="preserve">elementos en OpenStreetMap</t>
        </is>
      </c>
      <c r="H80" s="10" t="inlineStr">
        <is>
          <t xml:space="preserve">84</t>
        </is>
      </c>
      <c r="I80" s="10" t="inlineStr">
        <is>
          <t xml:space="preserve">No</t>
        </is>
      </c>
      <c r="J80" s="10" t="inlineStr">
        <is>
          <t xml:space="preserve">≥ 0; los 15 + sin_distrito = cifra de la ciudad</t>
        </is>
      </c>
      <c r="K80" s="10" t="inlineStr">
        <is>
          <t xml:space="preserve">Pública</t>
        </is>
      </c>
      <c r="L80" s="10" t="inlineStr">
        <is>
          <t xml:space="preserve">Nodo o centro de la vía o relación, asignado por punto en polígono; no se guardan coordenadas</t>
        </is>
      </c>
      <c r="M80" s="10" t="inlineStr">
        <is>
          <t xml:space="preserve">¿Cómo se comparan los 15 distritos de consejo entre sí?</t>
        </is>
      </c>
    </row>
    <row r="81">
      <c r="A81" s="10" t="inlineStr">
        <is>
          <t xml:space="preserve">F10</t>
        </is>
      </c>
      <c r="B81" s="10" t="inlineStr">
        <is>
          <t xml:space="preserve">lago/equipamientos.json</t>
        </is>
      </c>
      <c r="C81" s="10" t="inlineStr">
        <is>
          <t xml:space="preserve">equipamientos_por_distrito.hospitales</t>
        </is>
      </c>
      <c r="D81" s="10" t="inlineStr">
        <is>
          <t xml:space="preserve">amenity=hospital</t>
        </is>
      </c>
      <c r="E81" s="10" t="inlineStr">
        <is>
          <t xml:space="preserve">Elementos de OpenStreetMap (hospitales) cuyo punto cae en el distrito</t>
        </is>
      </c>
      <c r="F81" s="10" t="inlineStr">
        <is>
          <t xml:space="preserve">Entero</t>
        </is>
      </c>
      <c r="G81" s="10" t="inlineStr">
        <is>
          <t xml:space="preserve">elementos en OpenStreetMap</t>
        </is>
      </c>
      <c r="H81" s="10" t="inlineStr">
        <is>
          <t xml:space="preserve">3</t>
        </is>
      </c>
      <c r="I81" s="10" t="inlineStr">
        <is>
          <t xml:space="preserve">No</t>
        </is>
      </c>
      <c r="J81" s="10" t="inlineStr">
        <is>
          <t xml:space="preserve">≥ 0; los 15 + sin_distrito = cifra de la ciudad</t>
        </is>
      </c>
      <c r="K81" s="10" t="inlineStr">
        <is>
          <t xml:space="preserve">Pública</t>
        </is>
      </c>
      <c r="L81" s="10" t="inlineStr">
        <is>
          <t xml:space="preserve">Nodo o centro de la vía o relación, asignado por punto en polígono; no se guardan coordenadas</t>
        </is>
      </c>
      <c r="M81" s="10" t="inlineStr">
        <is>
          <t xml:space="preserve">¿Cómo se comparan los 15 distritos de consejo entre sí?</t>
        </is>
      </c>
    </row>
    <row r="82">
      <c r="A82" s="10" t="inlineStr">
        <is>
          <t xml:space="preserve">F10</t>
        </is>
      </c>
      <c r="B82" s="10" t="inlineStr">
        <is>
          <t xml:space="preserve">lago/equipamientos.json</t>
        </is>
      </c>
      <c r="C82" s="10" t="inlineStr">
        <is>
          <t xml:space="preserve">equipamientos_por_distrito.parques</t>
        </is>
      </c>
      <c r="D82" s="10" t="inlineStr">
        <is>
          <t xml:space="preserve">leisure=park</t>
        </is>
      </c>
      <c r="E82" s="10" t="inlineStr">
        <is>
          <t xml:space="preserve">Elementos de OpenStreetMap (parques) cuyo punto cae en el distrito</t>
        </is>
      </c>
      <c r="F82" s="10" t="inlineStr">
        <is>
          <t xml:space="preserve">Entero</t>
        </is>
      </c>
      <c r="G82" s="10" t="inlineStr">
        <is>
          <t xml:space="preserve">elementos en OpenStreetMap</t>
        </is>
      </c>
      <c r="H82" s="10" t="inlineStr">
        <is>
          <t xml:space="preserve">40</t>
        </is>
      </c>
      <c r="I82" s="10" t="inlineStr">
        <is>
          <t xml:space="preserve">No</t>
        </is>
      </c>
      <c r="J82" s="10" t="inlineStr">
        <is>
          <t xml:space="preserve">≥ 0; los 15 + sin_distrito = cifra de la ciudad</t>
        </is>
      </c>
      <c r="K82" s="10" t="inlineStr">
        <is>
          <t xml:space="preserve">Pública</t>
        </is>
      </c>
      <c r="L82" s="10" t="inlineStr">
        <is>
          <t xml:space="preserve">Nodo o centro de la vía o relación, asignado por punto en polígono; no se guardan coordenadas</t>
        </is>
      </c>
      <c r="M82" s="10" t="inlineStr">
        <is>
          <t xml:space="preserve">¿Cómo se comparan los 15 distritos de consejo entre sí?</t>
        </is>
      </c>
    </row>
    <row r="83">
      <c r="A83" s="10" t="inlineStr">
        <is>
          <t xml:space="preserve">F10</t>
        </is>
      </c>
      <c r="B83" s="10" t="inlineStr">
        <is>
          <t xml:space="preserve">lago/equipamientos.json</t>
        </is>
      </c>
      <c r="C83" s="10" t="inlineStr">
        <is>
          <t xml:space="preserve">equipamientos_por_distrito.colegios_por_10mil</t>
        </is>
      </c>
      <c r="D83" s="10" t="inlineStr">
        <is>
          <t xml:space="preserve">colegios / B01003_001E</t>
        </is>
      </c>
      <c r="E83" s="10" t="inlineStr">
        <is>
          <t xml:space="preserve">Colegios por cada 10.000 habitantes del distrito</t>
        </is>
      </c>
      <c r="F83" s="10" t="inlineStr">
        <is>
          <t xml:space="preserve">Decimal</t>
        </is>
      </c>
      <c r="G83" s="10" t="inlineStr">
        <is>
          <t xml:space="preserve">colegios por 10.000 habitantes</t>
        </is>
      </c>
      <c r="H83" s="10" t="inlineStr">
        <is>
          <t xml:space="preserve">3.3</t>
        </is>
      </c>
      <c r="I83" s="10" t="inlineStr">
        <is>
          <t xml:space="preserve">No</t>
        </is>
      </c>
      <c r="J83" s="10" t="inlineStr">
        <is>
          <t xml:space="preserve">La verificación lo recalcula con poblacion_por_distrito</t>
        </is>
      </c>
      <c r="K83" s="10" t="inlineStr">
        <is>
          <t xml:space="preserve">Pública</t>
        </is>
      </c>
      <c r="L83" s="10" t="inlineStr">
        <is>
          <t xml:space="preserve">colegios / población del distrito × 10.000, un decimal</t>
        </is>
      </c>
      <c r="M83" s="10" t="inlineStr">
        <is>
          <t xml:space="preserve">¿Cómo se comparan los 15 distritos de consejo entre sí?</t>
        </is>
      </c>
    </row>
    <row r="84">
      <c r="A84" s="10" t="inlineStr">
        <is>
          <t xml:space="preserve">F10</t>
        </is>
      </c>
      <c r="B84" s="10" t="inlineStr">
        <is>
          <t xml:space="preserve">lago/equipamientos.json</t>
        </is>
      </c>
      <c r="C84" s="10" t="inlineStr">
        <is>
          <t xml:space="preserve">equipamientos_por_distrito.hospitales_por_10mil</t>
        </is>
      </c>
      <c r="D84" s="10" t="inlineStr">
        <is>
          <t xml:space="preserve">hospitales / B01003_001E</t>
        </is>
      </c>
      <c r="E84" s="10" t="inlineStr">
        <is>
          <t xml:space="preserve">Hospitales por cada 10.000 habitantes del distrito</t>
        </is>
      </c>
      <c r="F84" s="10" t="inlineStr">
        <is>
          <t xml:space="preserve">Decimal</t>
        </is>
      </c>
      <c r="G84" s="10" t="inlineStr">
        <is>
          <t xml:space="preserve">hospitales por 10.000 habitantes</t>
        </is>
      </c>
      <c r="H84" s="10" t="inlineStr">
        <is>
          <t xml:space="preserve">0.12</t>
        </is>
      </c>
      <c r="I84" s="10" t="inlineStr">
        <is>
          <t xml:space="preserve">No</t>
        </is>
      </c>
      <c r="J84" s="10" t="inlineStr">
        <is>
          <t xml:space="preserve">La verificación lo recalcula con poblacion_por_distrito</t>
        </is>
      </c>
      <c r="K84" s="10" t="inlineStr">
        <is>
          <t xml:space="preserve">Pública</t>
        </is>
      </c>
      <c r="L84" s="10" t="inlineStr">
        <is>
          <t xml:space="preserve">hospitales / población del distrito × 10.000, dos decimales</t>
        </is>
      </c>
      <c r="M84" s="10" t="inlineStr">
        <is>
          <t xml:space="preserve">¿Cómo se comparan los 15 distritos de consejo entre sí?</t>
        </is>
      </c>
    </row>
    <row r="85">
      <c r="A85" s="10" t="inlineStr">
        <is>
          <t xml:space="preserve">F10</t>
        </is>
      </c>
      <c r="B85" s="10" t="inlineStr">
        <is>
          <t xml:space="preserve">lago/equipamientos.json</t>
        </is>
      </c>
      <c r="C85" s="10" t="inlineStr">
        <is>
          <t xml:space="preserve">equipamientos_por_distrito.parques_por_10mil</t>
        </is>
      </c>
      <c r="D85" s="10" t="inlineStr">
        <is>
          <t xml:space="preserve">parques / B01003_001E</t>
        </is>
      </c>
      <c r="E85" s="10" t="inlineStr">
        <is>
          <t xml:space="preserve">Parques por cada 10.000 habitantes del distrito</t>
        </is>
      </c>
      <c r="F85" s="10" t="inlineStr">
        <is>
          <t xml:space="preserve">Decimal</t>
        </is>
      </c>
      <c r="G85" s="10" t="inlineStr">
        <is>
          <t xml:space="preserve">parques por 10.000 habitantes</t>
        </is>
      </c>
      <c r="H85" s="10" t="inlineStr">
        <is>
          <t xml:space="preserve">1.6</t>
        </is>
      </c>
      <c r="I85" s="10" t="inlineStr">
        <is>
          <t xml:space="preserve">No</t>
        </is>
      </c>
      <c r="J85" s="10" t="inlineStr">
        <is>
          <t xml:space="preserve">La verificación lo recalcula con poblacion_por_distrito</t>
        </is>
      </c>
      <c r="K85" s="10" t="inlineStr">
        <is>
          <t xml:space="preserve">Pública</t>
        </is>
      </c>
      <c r="L85" s="10" t="inlineStr">
        <is>
          <t xml:space="preserve">parques / población del distrito × 10.000, un decimal</t>
        </is>
      </c>
      <c r="M85" s="10" t="inlineStr">
        <is>
          <t xml:space="preserve">¿Cómo se comparan los 15 distritos de consejo entre sí?</t>
        </is>
      </c>
    </row>
    <row r="86">
      <c r="A86" s="10" t="inlineStr">
        <is>
          <t xml:space="preserve">F10</t>
        </is>
      </c>
      <c r="B86" s="10" t="inlineStr">
        <is>
          <t xml:space="preserve">lago/equipamientos.json</t>
        </is>
      </c>
      <c r="C86" s="10" t="inlineStr">
        <is>
          <t xml:space="preserve">equipamientos_por_distrito.sin_distrito</t>
        </is>
      </c>
      <c r="D86" s="10" t="inlineStr">
        <is>
          <t xml:space="preserve">—</t>
        </is>
      </c>
      <c r="E86" s="10" t="inlineStr">
        <is>
          <t xml:space="preserve">Elementos dentro de la ciudad que no caen en ninguno de los 15 polígonos (en el borde)</t>
        </is>
      </c>
      <c r="F86" s="10" t="inlineStr">
        <is>
          <t xml:space="preserve">Entero</t>
        </is>
      </c>
      <c r="G86" s="10" t="inlineStr">
        <is>
          <t xml:space="preserve">elementos</t>
        </is>
      </c>
      <c r="H86" s="10" t="inlineStr">
        <is>
          <t xml:space="preserve">{"colegios": 5, "hospitales": 4, "parques": 18}</t>
        </is>
      </c>
      <c r="I86" s="10" t="inlineStr">
        <is>
          <t xml:space="preserve">No</t>
        </is>
      </c>
      <c r="J86" s="10" t="inlineStr">
        <is>
          <t xml:space="preserve">≥ 0 por capa</t>
        </is>
      </c>
      <c r="K86" s="10" t="inlineStr">
        <is>
          <t xml:space="preserve">Interna</t>
        </is>
      </c>
      <c r="L86" s="10" t="inlineStr">
        <is>
          <t xml:space="preserve">Conteo de los no asignados</t>
        </is>
      </c>
      <c r="M86" s="10" t="inlineStr">
        <is>
          <t xml:space="preserve">¿Cómo se comparan los 15 distritos de consejo entre sí?</t>
        </is>
      </c>
    </row>
    <row r="87">
      <c r="A87" s="10" t="inlineStr">
        <is>
          <t xml:space="preserve">F09</t>
        </is>
      </c>
      <c r="B87" s="10" t="inlineStr">
        <is>
          <t xml:space="preserve">lago/movilidad.json</t>
        </is>
      </c>
      <c r="C87" s="10" t="inlineStr">
        <is>
          <t xml:space="preserve">estaciones.estacion</t>
        </is>
      </c>
      <c r="D87" s="10" t="inlineStr">
        <is>
          <t xml:space="preserve">name (station_information)</t>
        </is>
      </c>
      <c r="E87" s="10" t="inlineStr">
        <is>
          <t xml:space="preserve">Nombre de la estación de bicicletas</t>
        </is>
      </c>
      <c r="F87" s="10" t="inlineStr">
        <is>
          <t xml:space="preserve">Texto</t>
        </is>
      </c>
      <c r="G87" s="10" t="inlineStr">
        <is>
          <t xml:space="preserve">—</t>
        </is>
      </c>
      <c r="H87" s="10" t="inlineStr">
        <is>
          <t xml:space="preserve">11th &amp; Maple</t>
        </is>
      </c>
      <c r="I87" s="10" t="inlineStr">
        <is>
          <t xml:space="preserve">No</t>
        </is>
      </c>
      <c r="J87" s="10" t="inlineStr">
        <is>
          <t xml:space="preserve">Nombre de una esquina o lugar; sin dirección</t>
        </is>
      </c>
      <c r="K87" s="10" t="inlineStr">
        <is>
          <t xml:space="preserve">Pública</t>
        </is>
      </c>
      <c r="L87" s="10" t="inlineStr">
        <is>
          <t xml:space="preserve">Se une con station_status por station_id; la dirección no se guarda</t>
        </is>
      </c>
      <c r="M87" s="10" t="inlineStr">
        <is>
          <t xml:space="preserve">¿Cómo está la bicicleta compartida en este momento?</t>
        </is>
      </c>
    </row>
    <row r="88">
      <c r="A88" s="10" t="inlineStr">
        <is>
          <t xml:space="preserve">F09</t>
        </is>
      </c>
      <c r="B88" s="10" t="inlineStr">
        <is>
          <t xml:space="preserve">lago/movilidad.json</t>
        </is>
      </c>
      <c r="C88" s="10" t="inlineStr">
        <is>
          <t xml:space="preserve">estaciones.lat</t>
        </is>
      </c>
      <c r="D88" s="10" t="inlineStr">
        <is>
          <t xml:space="preserve">lat (station_information)</t>
        </is>
      </c>
      <c r="E88" s="10" t="inlineStr">
        <is>
          <t xml:space="preserve">Latitud de la estación</t>
        </is>
      </c>
      <c r="F88" s="10" t="inlineStr">
        <is>
          <t xml:space="preserve">Coordenada / geometría</t>
        </is>
      </c>
      <c r="G88" s="10" t="inlineStr">
        <is>
          <t xml:space="preserve">grados WGS84</t>
        </is>
      </c>
      <c r="H88" s="10" t="inlineStr">
        <is>
          <t xml:space="preserve">34.03705</t>
        </is>
      </c>
      <c r="I88" s="10" t="inlineStr">
        <is>
          <t xml:space="preserve">No</t>
        </is>
      </c>
      <c r="J88" s="10" t="inlineStr">
        <is>
          <t xml:space="preserve">33,6 a 34,9</t>
        </is>
      </c>
      <c r="K88" s="10" t="inlineStr">
        <is>
          <t xml:space="preserve">Pública</t>
        </is>
      </c>
      <c r="L88" s="10" t="inlineStr">
        <is>
          <t xml:space="preserve">Redondeo a 5 decimales (~1 m)</t>
        </is>
      </c>
      <c r="M88" s="10" t="inlineStr">
        <is>
          <t xml:space="preserve">¿Cómo está la bicicleta compartida en este momento?</t>
        </is>
      </c>
    </row>
    <row r="89">
      <c r="A89" s="10" t="inlineStr">
        <is>
          <t xml:space="preserve">F09</t>
        </is>
      </c>
      <c r="B89" s="10" t="inlineStr">
        <is>
          <t xml:space="preserve">lago/movilidad.json</t>
        </is>
      </c>
      <c r="C89" s="10" t="inlineStr">
        <is>
          <t xml:space="preserve">estaciones.lon</t>
        </is>
      </c>
      <c r="D89" s="10" t="inlineStr">
        <is>
          <t xml:space="preserve">lon (station_information)</t>
        </is>
      </c>
      <c r="E89" s="10" t="inlineStr">
        <is>
          <t xml:space="preserve">Longitud de la estación</t>
        </is>
      </c>
      <c r="F89" s="10" t="inlineStr">
        <is>
          <t xml:space="preserve">Coordenada / geometría</t>
        </is>
      </c>
      <c r="G89" s="10" t="inlineStr">
        <is>
          <t xml:space="preserve">grados WGS84</t>
        </is>
      </c>
      <c r="H89" s="10" t="inlineStr">
        <is>
          <t xml:space="preserve">-118.25487</t>
        </is>
      </c>
      <c r="I89" s="10" t="inlineStr">
        <is>
          <t xml:space="preserve">No</t>
        </is>
      </c>
      <c r="J89" s="10" t="inlineStr">
        <is>
          <t xml:space="preserve">-119 a -117,6</t>
        </is>
      </c>
      <c r="K89" s="10" t="inlineStr">
        <is>
          <t xml:space="preserve">Pública</t>
        </is>
      </c>
      <c r="L89" s="10" t="inlineStr">
        <is>
          <t xml:space="preserve">Redondeo a 5 decimales (~1 m)</t>
        </is>
      </c>
      <c r="M89" s="10" t="inlineStr">
        <is>
          <t xml:space="preserve">¿Cómo está la bicicleta compartida en este momento?</t>
        </is>
      </c>
    </row>
    <row r="90">
      <c r="A90" s="10" t="inlineStr">
        <is>
          <t xml:space="preserve">F09</t>
        </is>
      </c>
      <c r="B90" s="10" t="inlineStr">
        <is>
          <t xml:space="preserve">lago/movilidad.json</t>
        </is>
      </c>
      <c r="C90" s="10" t="inlineStr">
        <is>
          <t xml:space="preserve">estaciones.bicis_disponibles</t>
        </is>
      </c>
      <c r="D90" s="10" t="inlineStr">
        <is>
          <t xml:space="preserve">num_bikes_available</t>
        </is>
      </c>
      <c r="E90" s="10" t="inlineStr">
        <is>
          <t xml:space="preserve">Bicicletas disponibles en la estación en la foto</t>
        </is>
      </c>
      <c r="F90" s="10" t="inlineStr">
        <is>
          <t xml:space="preserve">Entero</t>
        </is>
      </c>
      <c r="G90" s="10" t="inlineStr">
        <is>
          <t xml:space="preserve">bicicletas</t>
        </is>
      </c>
      <c r="H90" s="10" t="inlineStr">
        <is>
          <t xml:space="preserve">12</t>
        </is>
      </c>
      <c r="I90" s="10" t="inlineStr">
        <is>
          <t xml:space="preserve">No</t>
        </is>
      </c>
      <c r="J90" s="10" t="inlineStr">
        <is>
          <t xml:space="preserve">≥ 0; suman bicis_disponibles</t>
        </is>
      </c>
      <c r="K90" s="10" t="inlineStr">
        <is>
          <t xml:space="preserve">Pública</t>
        </is>
      </c>
      <c r="L90" s="10" t="inlineStr">
        <is>
          <t xml:space="preserve">Se toma tal cual</t>
        </is>
      </c>
      <c r="M90" s="10" t="inlineStr">
        <is>
          <t xml:space="preserve">¿Cómo está la bicicleta compartida en este momento?</t>
        </is>
      </c>
    </row>
    <row r="91">
      <c r="A91" s="10" t="inlineStr">
        <is>
          <t xml:space="preserve">F09</t>
        </is>
      </c>
      <c r="B91" s="10" t="inlineStr">
        <is>
          <t xml:space="preserve">lago/movilidad.json</t>
        </is>
      </c>
      <c r="C91" s="10" t="inlineStr">
        <is>
          <t xml:space="preserve">estaciones.anclajes_libres</t>
        </is>
      </c>
      <c r="D91" s="10" t="inlineStr">
        <is>
          <t xml:space="preserve">num_docks_available</t>
        </is>
      </c>
      <c r="E91" s="10" t="inlineStr">
        <is>
          <t xml:space="preserve">Anclajes libres en la estación en la foto</t>
        </is>
      </c>
      <c r="F91" s="10" t="inlineStr">
        <is>
          <t xml:space="preserve">Entero</t>
        </is>
      </c>
      <c r="G91" s="10" t="inlineStr">
        <is>
          <t xml:space="preserve">anclajes</t>
        </is>
      </c>
      <c r="H91" s="10" t="inlineStr">
        <is>
          <t xml:space="preserve">2</t>
        </is>
      </c>
      <c r="I91" s="10" t="inlineStr">
        <is>
          <t xml:space="preserve">No</t>
        </is>
      </c>
      <c r="J91" s="10" t="inlineStr">
        <is>
          <t xml:space="preserve">≥ 0; suman anclajes_libres</t>
        </is>
      </c>
      <c r="K91" s="10" t="inlineStr">
        <is>
          <t xml:space="preserve">Pública</t>
        </is>
      </c>
      <c r="L91" s="10" t="inlineStr">
        <is>
          <t xml:space="preserve">Se toma tal cual</t>
        </is>
      </c>
      <c r="M91" s="10" t="inlineStr">
        <is>
          <t xml:space="preserve">¿Cómo está la bicicleta compartida en este momento?</t>
        </is>
      </c>
    </row>
    <row r="92">
      <c r="A92" s="10" t="inlineStr">
        <is>
          <t xml:space="preserve">F09</t>
        </is>
      </c>
      <c r="B92" s="10" t="inlineStr">
        <is>
          <t xml:space="preserve">lago/movilidad.json</t>
        </is>
      </c>
      <c r="C92" s="10" t="inlineStr">
        <is>
          <t xml:space="preserve">estaciones.sin_coordenadas</t>
        </is>
      </c>
      <c r="D92" s="10" t="inlineStr">
        <is>
          <t xml:space="preserve">—</t>
        </is>
      </c>
      <c r="E92" s="10" t="inlineStr">
        <is>
          <t xml:space="preserve">Estaciones de station_status que no aparecen en station_information</t>
        </is>
      </c>
      <c r="F92" s="10" t="inlineStr">
        <is>
          <t xml:space="preserve">Entero</t>
        </is>
      </c>
      <c r="G92" s="10" t="inlineStr">
        <is>
          <t xml:space="preserve">estaciones</t>
        </is>
      </c>
      <c r="H92" s="10" t="inlineStr">
        <is>
          <t xml:space="preserve">0</t>
        </is>
      </c>
      <c r="I92" s="10" t="inlineStr">
        <is>
          <t xml:space="preserve">No</t>
        </is>
      </c>
      <c r="J92" s="10" t="inlineStr">
        <is>
          <t xml:space="preserve">≥ 0; mapeadas + sin_coordenadas = estaciones</t>
        </is>
      </c>
      <c r="K92" s="10" t="inlineStr">
        <is>
          <t xml:space="preserve">Interna</t>
        </is>
      </c>
      <c r="L92" s="10" t="inlineStr">
        <is>
          <t xml:space="preserve">Conteo de las que no se pueden unir</t>
        </is>
      </c>
      <c r="M92" s="10" t="inlineStr">
        <is>
          <t xml:space="preserve">¿Cómo está la bicicleta compartida en este momento?</t>
        </is>
      </c>
    </row>
    <row r="93">
      <c r="A93" s="10" t="inlineStr">
        <is>
          <t xml:space="preserve">F18</t>
        </is>
      </c>
      <c r="B93" s="10" t="inlineStr">
        <is>
          <t xml:space="preserve">territorio/areas_lapd.geojson</t>
        </is>
      </c>
      <c r="C93" s="10" t="inlineStr">
        <is>
          <t xml:space="preserve">properties.area</t>
        </is>
      </c>
      <c r="D93" s="10" t="inlineStr">
        <is>
          <t xml:space="preserve">PREC</t>
        </is>
      </c>
      <c r="E93" s="10" t="inlineStr">
        <is>
          <t xml:space="preserve">Código del área de LAPD</t>
        </is>
      </c>
      <c r="F93" s="10" t="inlineStr">
        <is>
          <t xml:space="preserve">Código</t>
        </is>
      </c>
      <c r="G93" s="10" t="inlineStr">
        <is>
          <t xml:space="preserve">—</t>
        </is>
      </c>
      <c r="H93" s="10" t="inlineStr">
        <is>
          <t xml:space="preserve">1</t>
        </is>
      </c>
      <c r="I93" s="10" t="inlineStr">
        <is>
          <t xml:space="preserve">No</t>
        </is>
      </c>
      <c r="J93" s="10" t="inlineStr">
        <is>
          <t xml:space="preserve">1 a 21</t>
        </is>
      </c>
      <c r="K93" s="10" t="inlineStr">
        <is>
          <t xml:space="preserve">Pública</t>
        </is>
      </c>
      <c r="L93" s="10" t="inlineStr">
        <is>
          <t xml:space="preserve">Entero; se ordenan del 1 al 21</t>
        </is>
      </c>
      <c r="M93" s="10" t="inlineStr">
        <is>
          <t xml:space="preserve">¿Dónde se concentran los delitos y cómo evolucionan mes a mes?</t>
        </is>
      </c>
    </row>
    <row r="94">
      <c r="A94" s="10" t="inlineStr">
        <is>
          <t xml:space="preserve">F18</t>
        </is>
      </c>
      <c r="B94" s="10" t="inlineStr">
        <is>
          <t xml:space="preserve">territorio/areas_lapd.geojson</t>
        </is>
      </c>
      <c r="C94" s="10" t="inlineStr">
        <is>
          <t xml:space="preserve">properties.nombre</t>
        </is>
      </c>
      <c r="D94" s="10" t="inlineStr">
        <is>
          <t xml:space="preserve">APREC</t>
        </is>
      </c>
      <c r="E94" s="10" t="inlineStr">
        <is>
          <t xml:space="preserve">Nombre del área de LAPD</t>
        </is>
      </c>
      <c r="F94" s="10" t="inlineStr">
        <is>
          <t xml:space="preserve">Texto</t>
        </is>
      </c>
      <c r="G94" s="10" t="inlineStr">
        <is>
          <t xml:space="preserve">—</t>
        </is>
      </c>
      <c r="H94" s="10" t="inlineStr">
        <is>
          <t xml:space="preserve">CENTRAL</t>
        </is>
      </c>
      <c r="I94" s="10" t="inlineStr">
        <is>
          <t xml:space="preserve">No</t>
        </is>
      </c>
      <c r="J94" s="10" t="inlineStr">
        <is>
          <t xml:space="preserve">21 nombres</t>
        </is>
      </c>
      <c r="K94" s="10" t="inlineStr">
        <is>
          <t xml:space="preserve">Pública</t>
        </is>
      </c>
      <c r="L94" s="10" t="inlineStr">
        <is>
          <t xml:space="preserve">Sin cambios</t>
        </is>
      </c>
      <c r="M94" s="10" t="inlineStr">
        <is>
          <t xml:space="preserve">¿Dónde se concentran los delitos y cómo evolucionan mes a mes?</t>
        </is>
      </c>
    </row>
    <row r="95">
      <c r="A95" s="10" t="inlineStr">
        <is>
          <t xml:space="preserve">F18</t>
        </is>
      </c>
      <c r="B95" s="10" t="inlineStr">
        <is>
          <t xml:space="preserve">territorio/areas_lapd.geojson</t>
        </is>
      </c>
      <c r="C95" s="10" t="inlineStr">
        <is>
          <t xml:space="preserve">geometry</t>
        </is>
      </c>
      <c r="D95" s="10" t="inlineStr">
        <is>
          <t xml:space="preserve">Shape</t>
        </is>
      </c>
      <c r="E95" s="10" t="inlineStr">
        <is>
          <t xml:space="preserve">Polígono del área en coordenadas WGS84</t>
        </is>
      </c>
      <c r="F95" s="10" t="inlineStr">
        <is>
          <t xml:space="preserve">Coordenada / geometría</t>
        </is>
      </c>
      <c r="G95" s="10" t="inlineStr">
        <is>
          <t xml:space="preserve">grados (lon, lat)</t>
        </is>
      </c>
      <c r="H95" s="10" t="inlineStr">
        <is>
          <t xml:space="preserve">Polygon, 13 vértices (área 1)</t>
        </is>
      </c>
      <c r="I95" s="10" t="inlineStr">
        <is>
          <t xml:space="preserve">No</t>
        </is>
      </c>
      <c r="J95" s="10" t="inlineStr">
        <is>
          <t xml:space="preserve">Dentro del límite de la ciudad</t>
        </is>
      </c>
      <c r="K95" s="10" t="inlineStr">
        <is>
          <t xml:space="preserve">Pública</t>
        </is>
      </c>
      <c r="L95" s="10" t="inlineStr">
        <is>
          <t xml:space="preserve">Simplificado a ~300 m y 4 decimales (maxAllowableOffset=0.003)</t>
        </is>
      </c>
      <c r="M95" s="10" t="inlineStr">
        <is>
          <t xml:space="preserve">¿Dónde se concentran los delitos y cómo evolucionan mes a mes?</t>
        </is>
      </c>
    </row>
    <row r="96">
      <c r="A96" s="10" t="inlineStr">
        <is>
          <t xml:space="preserve">F19</t>
        </is>
      </c>
      <c r="B96" s="10" t="inlineStr">
        <is>
          <t xml:space="preserve">territorio/distritos_reporte_lapd.geojson</t>
        </is>
      </c>
      <c r="C96" s="10" t="inlineStr">
        <is>
          <t xml:space="preserve">properties.rd</t>
        </is>
      </c>
      <c r="D96" s="10" t="inlineStr">
        <is>
          <t xml:space="preserve">REPDIST</t>
        </is>
      </c>
      <c r="E96" s="10" t="inlineStr">
        <is>
          <t xml:space="preserve">Código del distrito de reporte</t>
        </is>
      </c>
      <c r="F96" s="10" t="inlineStr">
        <is>
          <t xml:space="preserve">Código</t>
        </is>
      </c>
      <c r="G96" s="10" t="inlineStr">
        <is>
          <t xml:space="preserve">—</t>
        </is>
      </c>
      <c r="H96" s="10" t="inlineStr">
        <is>
          <t xml:space="preserve">0101</t>
        </is>
      </c>
      <c r="I96" s="10" t="inlineStr">
        <is>
          <t xml:space="preserve">No</t>
        </is>
      </c>
      <c r="J96" s="10" t="inlineStr">
        <is>
          <t xml:space="preserve">4 dígitos; 1.135 códigos sin repetir</t>
        </is>
      </c>
      <c r="K96" s="10" t="inlineStr">
        <is>
          <t xml:space="preserve">Pública</t>
        </is>
      </c>
      <c r="L96" s="10" t="inlineStr">
        <is>
          <t xml:space="preserve">Entero a texto de 4 dígitos; filtro AGENCY = PD</t>
        </is>
      </c>
      <c r="M96" s="10" t="inlineStr">
        <is>
          <t xml:space="preserve">¿Dónde se concentran los delitos y cómo evolucionan mes a mes?</t>
        </is>
      </c>
    </row>
    <row r="97">
      <c r="A97" s="10" t="inlineStr">
        <is>
          <t xml:space="preserve">F19</t>
        </is>
      </c>
      <c r="B97" s="10" t="inlineStr">
        <is>
          <t xml:space="preserve">territorio/distritos_reporte_lapd.geojson</t>
        </is>
      </c>
      <c r="C97" s="10" t="inlineStr">
        <is>
          <t xml:space="preserve">properties.area</t>
        </is>
      </c>
      <c r="D97" s="10" t="inlineStr">
        <is>
          <t xml:space="preserve">PREC</t>
        </is>
      </c>
      <c r="E97" s="10" t="inlineStr">
        <is>
          <t xml:space="preserve">Área de LAPD del distrito de reporte</t>
        </is>
      </c>
      <c r="F97" s="10" t="inlineStr">
        <is>
          <t xml:space="preserve">Código</t>
        </is>
      </c>
      <c r="G97" s="10" t="inlineStr">
        <is>
          <t xml:space="preserve">—</t>
        </is>
      </c>
      <c r="H97" s="10" t="inlineStr">
        <is>
          <t xml:space="preserve">1</t>
        </is>
      </c>
      <c r="I97" s="10" t="inlineStr">
        <is>
          <t xml:space="preserve">No</t>
        </is>
      </c>
      <c r="J97" s="10" t="inlineStr">
        <is>
          <t xml:space="preserve">1 a 21; igual a rd // 100</t>
        </is>
      </c>
      <c r="K97" s="10" t="inlineStr">
        <is>
          <t xml:space="preserve">Pública</t>
        </is>
      </c>
      <c r="L97" s="10" t="inlineStr">
        <is>
          <t xml:space="preserve">Sin cambios</t>
        </is>
      </c>
      <c r="M97" s="10" t="inlineStr">
        <is>
          <t xml:space="preserve">¿Dónde se concentran los delitos y cómo evolucionan mes a mes?</t>
        </is>
      </c>
    </row>
    <row r="98">
      <c r="A98" s="10" t="inlineStr">
        <is>
          <t xml:space="preserve">F19</t>
        </is>
      </c>
      <c r="B98" s="10" t="inlineStr">
        <is>
          <t xml:space="preserve">territorio/distritos_reporte_lapd.geojson</t>
        </is>
      </c>
      <c r="C98" s="10" t="inlineStr">
        <is>
          <t xml:space="preserve">geometry</t>
        </is>
      </c>
      <c r="D98" s="10" t="inlineStr">
        <is>
          <t xml:space="preserve">Shape</t>
        </is>
      </c>
      <c r="E98" s="10" t="inlineStr">
        <is>
          <t xml:space="preserve">Polígono del distrito de reporte en coordenadas WGS84</t>
        </is>
      </c>
      <c r="F98" s="10" t="inlineStr">
        <is>
          <t xml:space="preserve">Coordenada / geometría</t>
        </is>
      </c>
      <c r="G98" s="10" t="inlineStr">
        <is>
          <t xml:space="preserve">grados (lon, lat)</t>
        </is>
      </c>
      <c r="H98" s="10" t="inlineStr">
        <is>
          <t xml:space="preserve">Polygon, 12 vértices (0101)</t>
        </is>
      </c>
      <c r="I98" s="10" t="inlineStr">
        <is>
          <t xml:space="preserve">No</t>
        </is>
      </c>
      <c r="J98" s="10" t="inlineStr">
        <is>
          <t xml:space="preserve">Dentro del límite de la ciudad</t>
        </is>
      </c>
      <c r="K98" s="10" t="inlineStr">
        <is>
          <t xml:space="preserve">Pública</t>
        </is>
      </c>
      <c r="L98" s="10" t="inlineStr">
        <is>
          <t xml:space="preserve">Simplificado a ~50 m y 4 decimales (maxAllowableOffset=0.0005), polígono por polígono</t>
        </is>
      </c>
      <c r="M98" s="10" t="inlineStr">
        <is>
          <t xml:space="preserve">¿Dónde se concentran los delitos y cómo evolucionan mes a mes?</t>
        </is>
      </c>
    </row>
    <row r="99">
      <c r="A99" s="10" t="inlineStr">
        <is>
          <t xml:space="preserve">F18–F19</t>
        </is>
      </c>
      <c r="B99" s="10" t="inlineStr">
        <is>
          <t xml:space="preserve">territorio/areas_lapd.geojson y distritos_reporte_lapd.geojson</t>
        </is>
      </c>
      <c r="C99" s="10" t="inlineStr">
        <is>
          <t xml:space="preserve">properties.vigencia y nota (nivel superior)</t>
        </is>
      </c>
      <c r="D99" s="10" t="inlineStr">
        <is>
          <t xml:space="preserve">— (fecha de descarga)</t>
        </is>
      </c>
      <c r="E99" s="10" t="inlineStr">
        <is>
          <t xml:space="preserve">Día de descarga de los límites (la fuente no publica su vigencia) y aviso de simplificación</t>
        </is>
      </c>
      <c r="F99" s="10" t="inlineStr">
        <is>
          <t xml:space="preserve">Fecha</t>
        </is>
      </c>
      <c r="G99" s="10" t="inlineStr">
        <is>
          <t xml:space="preserve">AAAA-MM-DD</t>
        </is>
      </c>
      <c r="H99" s="10" t="inlineStr">
        <is>
          <t xml:space="preserve">2026-10-26</t>
        </is>
      </c>
      <c r="I99" s="10" t="inlineStr">
        <is>
          <t xml:space="preserve">No</t>
        </is>
      </c>
      <c r="J99" s="10" t="inlineStr">
        <is>
          <t xml:space="preserve">Fecha válida; la nota dice «simplificada»</t>
        </is>
      </c>
      <c r="K99" s="10" t="inlineStr">
        <is>
          <t xml:space="preserve">Pública</t>
        </is>
      </c>
      <c r="L99" s="10" t="inlineStr">
        <is>
          <t xml:space="preserve">Se escriben al descargar en pull_seguridad.py</t>
        </is>
      </c>
      <c r="M99" s="10" t="inlineStr">
        <is>
          <t xml:space="preserve">¿Dónde se concentran los delitos y cómo evolucionan mes a mes?</t>
        </is>
      </c>
    </row>
  </sheetData>
  <dataValidations count="3">
    <dataValidation sqref="F5:F100" showDropDown="0" showInputMessage="0" showErrorMessage="0" allowBlank="1" error="Elijan una opción de la lista" type="list">
      <formula1>"Texto,Entero,Decimal,Fecha,Booleano,Código,Coordenada / geometría"</formula1>
    </dataValidation>
    <dataValidation sqref="I5:I100" showDropDown="0" showInputMessage="0" showErrorMessage="0" allowBlank="1" error="Elijan una opción de la lista" type="list">
      <formula1>"Sí,No"</formula1>
    </dataValidation>
    <dataValidation sqref="K5:K100" showDropDown="0" showInputMessage="0" showErrorMessage="0" allowBlank="1" error="Elijan una opción de la lista" type="list">
      <formula1>"Pública,Interna,Sensible,Dato personal"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5" customWidth="1" min="1" max="1"/>
    <col width="16" customWidth="1" min="2" max="2"/>
    <col width="36" customWidth="1" min="3" max="4"/>
    <col width="30" customWidth="1" min="5" max="5"/>
    <col width="16" customWidth="1" min="6" max="6"/>
    <col width="12" customWidth="1" min="7" max="7"/>
    <col width="30" customWidth="1" min="8" max="8"/>
  </cols>
  <sheetData>
    <row r="1" ht="18" customHeight="1">
      <c r="A1" s="6" t="inlineStr">
        <is>
          <t>3. Bitácora de la búsqueda con IA</t>
        </is>
      </c>
    </row>
    <row r="2">
      <c r="A2" s="7" t="inlineStr">
        <is>
          <t>Qué le encargaron a la IA y qué pasó con lo que respondió. Incluyan los errores: valen tanto como los aciertos.</t>
        </is>
      </c>
    </row>
    <row r="3" ht="42" customHeight="1">
      <c r="A3" s="8" t="inlineStr">
        <is>
          <t>#</t>
        </is>
      </c>
      <c r="B3" s="8" t="inlineStr">
        <is>
          <t>Herramienta de IA</t>
        </is>
      </c>
      <c r="C3" s="8" t="inlineStr">
        <is>
          <t>Qué le encargaron</t>
        </is>
      </c>
      <c r="D3" s="8" t="inlineStr">
        <is>
          <t>Qué respondió (resumen)</t>
        </is>
      </c>
      <c r="E3" s="8" t="inlineStr">
        <is>
          <t>Cómo lo comprobaron</t>
        </is>
      </c>
      <c r="F3" s="8" t="inlineStr">
        <is>
          <t>Resultado</t>
        </is>
      </c>
      <c r="G3" s="8" t="inlineStr">
        <is>
          <t>ID fuente que salió de ahí</t>
        </is>
      </c>
      <c r="H3" s="8" t="inlineStr">
        <is>
          <t>Qué aprendieron</t>
        </is>
      </c>
    </row>
    <row r="4" ht="52" customHeight="1">
      <c r="A4" s="9" t="inlineStr">
        <is>
          <t>1</t>
        </is>
      </c>
      <c r="B4" s="9" t="inlineStr">
        <is>
          <t>Claude</t>
        </is>
      </c>
      <c r="C4" s="9" t="inlineStr">
        <is>
          <t>Encontrar una fuente abierta y sin llave que mida cuánto interés despierta Medellín fuera de la ciudad</t>
        </is>
      </c>
      <c r="D4" s="9" t="inlineStr">
        <is>
          <t>Propuso Google Trends y la API de vistas de Wikipedia</t>
        </is>
      </c>
      <c r="E4" s="9" t="inlineStr">
        <is>
          <t>Probamos las dos: Google Trends no tiene API abierta ni licencia de reutilización; la de Wikipedia respondió con curl y declara CC0</t>
        </is>
      </c>
      <c r="F4" s="9" t="inlineStr">
        <is>
          <t>Parcial</t>
        </is>
      </c>
      <c r="G4" s="9" t="inlineStr">
        <is>
          <t>F01</t>
        </is>
      </c>
      <c r="H4" s="9" t="inlineStr">
        <is>
          <t>Que la IA nombre una fuente no quiere decir que se pueda usar: la licencia y el acceso se comprueban uno mismo.</t>
        </is>
      </c>
    </row>
    <row r="5">
      <c r="A5" s="10" t="n">
        <v>1</v>
      </c>
      <c r="B5" s="10" t="inlineStr">
        <is>
          <t>Claude</t>
        </is>
      </c>
      <c r="C5" s="10" t="inlineStr">
        <is>
          <t>Dónde encontrar información en tiempo real de Los Ángeles para un sistema como el Cerebro Lima</t>
        </is>
      </c>
      <c r="D5" s="10" t="inlineStr">
        <is>
          <t>Propuso data.lacity.org y GeoHub, la API en tiempo real de Metro, Metro Bike Share, crimen de LAPD, 311, AirNow, Census y NOAA</t>
        </is>
      </c>
      <c r="E5" s="10" t="inlineStr">
        <is>
          <t>Abrimos cada enlace. El portal y Bike Share respondieron; AirNow pide cuenta y sus términos prohíben usarlo para decisiones públicas; el Census pide llave</t>
        </is>
      </c>
      <c r="F5" s="10" t="inlineStr">
        <is>
          <t>Parcial</t>
        </is>
      </c>
      <c r="G5" s="10" t="inlineStr">
        <is>
          <t>F03, F07, F09, F13</t>
        </is>
      </c>
      <c r="H5" s="10" t="inlineStr">
        <is>
          <t>De una lista larga de la IA solo sobrevive lo que alguien abrió. «Tiempo real» de verdad casi solo lo cumple el GBFS.</t>
        </is>
      </c>
    </row>
    <row r="6">
      <c r="A6" s="10" t="n">
        <v>2</v>
      </c>
      <c r="B6" s="10" t="inlineStr">
        <is>
          <t>Claude</t>
        </is>
      </c>
      <c r="C6" s="10" t="inlineStr">
        <is>
          <t>Describir el conjunto de crimen de LAPD para el catálogo</t>
        </is>
      </c>
      <c r="D6" s="10" t="inlineStr">
        <is>
          <t>El conjunto 2nrs-mtv8 con vigencia «actualizado semanalmente»</t>
        </is>
      </c>
      <c r="E6" s="10" t="inlineStr">
        <is>
          <t>Consultamos max(date_rptd): 2025-03-28. El nombre oficial es «Crime Data from 2020 to 2024»; LAPD pasó a NIBRS el 2024-03-07</t>
        </is>
      </c>
      <c r="F6" s="10" t="inlineStr">
        <is>
          <t>Incorrecto</t>
        </is>
      </c>
      <c r="G6" s="10" t="inlineStr">
        <is>
          <t>F02, F01</t>
        </is>
      </c>
      <c r="H6" s="10" t="inlineStr">
        <is>
          <t>La vigencia no se supone: se pregunta a la fuente con max(fecha).</t>
        </is>
      </c>
    </row>
    <row r="7">
      <c r="A7" s="10" t="n">
        <v>3</v>
      </c>
      <c r="B7" s="10" t="inlineStr">
        <is>
          <t>Claude</t>
        </is>
      </c>
      <c r="C7" s="10" t="inlineStr">
        <is>
          <t>La URL del feed GBFS de Metro Bike Share</t>
        </is>
      </c>
      <c r="D7" s="10" t="inlineStr">
        <is>
          <t>gbfs.bcycle.com/bcycle_metrobikeshare/…</t>
        </is>
      </c>
      <c r="E7" s="10" t="inlineStr">
        <is>
          <t>Respondió 404. La URL real (bcycle_lametro) salió de la página de datos de bikeshare.metro.net</t>
        </is>
      </c>
      <c r="F7" s="10" t="inlineStr">
        <is>
          <t>Inventado</t>
        </is>
      </c>
      <c r="G7" s="10" t="inlineStr">
        <is>
          <t>F09</t>
        </is>
      </c>
      <c r="H7" s="10" t="inlineStr">
        <is>
          <t>Una URL con forma correcta puede no existir; la fuente oficial manda.</t>
        </is>
      </c>
    </row>
    <row r="8">
      <c r="A8" s="10" t="n">
        <v>4</v>
      </c>
      <c r="B8" s="10" t="inlineStr">
        <is>
          <t>Claude</t>
        </is>
      </c>
      <c r="C8" s="10" t="inlineStr">
        <is>
          <t>Cuántas estaciones tiene Bike Share</t>
        </is>
      </c>
      <c r="D8" s="10" t="inlineStr">
        <is>
          <t>178 estaciones</t>
        </is>
      </c>
      <c r="E8" s="10" t="inlineStr">
        <is>
          <t>Contamos las estaciones del JSON completo: 224</t>
        </is>
      </c>
      <c r="F8" s="10" t="inlineStr">
        <is>
          <t>Incorrecto</t>
        </is>
      </c>
      <c r="G8" s="10" t="inlineStr">
        <is>
          <t>F09</t>
        </is>
      </c>
      <c r="H8" s="10" t="inlineStr">
        <is>
          <t>Una cifra que da la IA se recuenta sobre el dato crudo.</t>
        </is>
      </c>
    </row>
    <row r="9">
      <c r="A9" s="10" t="n">
        <v>5</v>
      </c>
      <c r="B9" s="10" t="inlineStr">
        <is>
          <t>Claude</t>
        </is>
      </c>
      <c r="C9" s="10" t="inlineStr">
        <is>
          <t>Un conjunto de permisos de construcción de la ciudad</t>
        </is>
      </c>
      <c r="D9" s="10" t="inlineStr">
        <is>
          <t>Primero el ID yv23-pmwf; después hbkd-qubn</t>
        </is>
      </c>
      <c r="E9" s="10" t="inlineStr">
        <is>
          <t>yv23-pmwf respondió 403. hbkd-qubn es una vista de 2023 con nombres de personas. Buscando en el catálogo del portal apareció pi9x-tg5x, al día (2026-09-26) y sin nombres</t>
        </is>
      </c>
      <c r="F9" s="10" t="inlineStr">
        <is>
          <t>Parcial</t>
        </is>
      </c>
      <c r="G9" s="10" t="inlineStr">
        <is>
          <t>F05, F04</t>
        </is>
      </c>
      <c r="H9" s="10" t="inlineStr">
        <is>
          <t>Un ID que la IA recuerda puede estar vencido; el catálogo del portal dice qué está vivo.</t>
        </is>
      </c>
    </row>
    <row r="10">
      <c r="A10" s="10" t="n">
        <v>6</v>
      </c>
      <c r="B10" s="10" t="inlineStr">
        <is>
          <t>Claude</t>
        </is>
      </c>
      <c r="C10" s="10" t="inlineStr">
        <is>
          <t>Los límites de los distritos de consejo</t>
        </is>
      </c>
      <c r="D10" s="10" t="inlineStr">
        <is>
          <t>El conjunto 872g-cjhh «City Council Districts» del catálogo de Socrata</t>
        </is>
      </c>
      <c r="E10" s="10" t="inlineStr">
        <is>
          <t>En data.lacity.org dio 404: era de otro portal que el catálogo federado mezcló. Los límites reales salieron de LA GeoHub</t>
        </is>
      </c>
      <c r="F10" s="10" t="inlineStr">
        <is>
          <t>Incorrecto</t>
        </is>
      </c>
      <c r="G10" s="10" t="inlineStr">
        <is>
          <t>F16, F12</t>
        </is>
      </c>
      <c r="H10" s="10" t="inlineStr">
        <is>
          <t>Un título que coincide no es la cosa: se filtra por dominio.</t>
        </is>
      </c>
    </row>
    <row r="11">
      <c r="A11" s="10" t="n">
        <v>7</v>
      </c>
      <c r="B11" s="10" t="inlineStr">
        <is>
          <t>Claude</t>
        </is>
      </c>
      <c r="C11" s="10" t="inlineStr">
        <is>
          <t>APIs de transporte público de Los Ángeles</t>
        </is>
      </c>
      <c r="D11" s="10" t="inlineStr">
        <is>
          <t>Entre sus resultados, una ficha de publicapi.dev con la ruta api.metro.net/bus/stops</t>
        </is>
      </c>
      <c r="E11" s="10" t="inlineStr">
        <is>
          <t>La ruta respondió 404; la ficha describe endpoints que Metro no publica</t>
        </is>
      </c>
      <c r="F11" s="10" t="inlineStr">
        <is>
          <t>Inventado</t>
        </is>
      </c>
      <c r="G11" s="10" t="inlineStr">
        <is>
          <t>F15</t>
        </is>
      </c>
      <c r="H11" s="10" t="inlineStr">
        <is>
          <t>Hay páginas escritas por generadores que inventan APIs; lo que no responde no entra.</t>
        </is>
      </c>
    </row>
    <row r="12">
      <c r="A12" s="10" t="n">
        <v>8</v>
      </c>
      <c r="B12" s="10" t="inlineStr">
        <is>
          <t>Claude</t>
        </is>
      </c>
      <c r="C12" s="10" t="inlineStr">
        <is>
          <t>Una fuente de población de la ciudad sin llave</t>
        </is>
      </c>
      <c r="D12" s="10" t="inlineStr">
        <is>
          <t>Census ACS (pide llave); como alternativa, el informe E-1 del Departamento de Finanzas de California</t>
        </is>
      </c>
      <c r="E12" s="10" t="inlineStr">
        <is>
          <t>El Census redirigió a missing_key. En el Excel del DOF hay dos filas «Los Angeles»: condado 9.837.286 y ciudad 3.806.201; tomamos la ciudad y el script lo comprueba</t>
        </is>
      </c>
      <c r="F12" s="10" t="inlineStr">
        <is>
          <t>Parcial</t>
        </is>
      </c>
      <c r="G12" s="10" t="inlineStr">
        <is>
          <t>F07, F06</t>
        </is>
      </c>
      <c r="H12" s="10" t="inlineStr">
        <is>
          <t>El homónimo estaba dentro del mismo archivo; la comprobación va en el script, no en la memoria.</t>
        </is>
      </c>
    </row>
    <row r="13">
      <c r="A13" s="10" t="n">
        <v>9</v>
      </c>
      <c r="B13" s="10" t="inlineStr">
        <is>
          <t>Claude</t>
        </is>
      </c>
      <c r="C13" s="10" t="inlineStr">
        <is>
          <t>Una fuente de «escucha» como la de Lima</t>
        </is>
      </c>
      <c r="D13" s="10" t="inlineStr">
        <is>
          <t>Google News RSS</t>
        </is>
      </c>
      <c r="E13" s="10" t="inlineStr">
        <is>
          <t>El acceso automatizado fue rechazado por robots.txt. Se reemplazó por el script base del taller (Wikipedia), comprobando que «Los Ángeles» es artículo y no desambiguación</t>
        </is>
      </c>
      <c r="F13" s="10" t="inlineStr">
        <is>
          <t>Parcial</t>
        </is>
      </c>
      <c r="G13" s="10" t="inlineStr">
        <is>
          <t>F14, F11</t>
        </is>
      </c>
      <c r="H13" s="10" t="inlineStr">
        <is>
          <t>Un bloqueo no se esquiva: se busca otra fuente.</t>
        </is>
      </c>
    </row>
    <row r="14">
      <c r="A14" s="10" t="n">
        <v>10</v>
      </c>
      <c r="B14" s="10" t="inlineStr">
        <is>
          <t>Claude</t>
        </is>
      </c>
      <c r="C14" s="10" t="inlineStr">
        <is>
          <t>Cómo consultar OpenStreetMap dentro del límite de la ciudad</t>
        </is>
      </c>
      <c r="D14" s="10" t="inlineStr">
        <is>
          <t>La consulta a Overpass por el área de la relación 207359</t>
        </is>
      </c>
      <c r="E14" s="10" t="inlineStr">
        <is>
          <t>La primera prueba (27-sep) no llegó al servidor; desde el 28-sep responde, y comprobamos que el área es la ciudad (admin_level 8) y no el condado</t>
        </is>
      </c>
      <c r="F14" s="10" t="inlineStr">
        <is>
          <t>Correcto</t>
        </is>
      </c>
      <c r="G14" s="10" t="inlineStr">
        <is>
          <t>F10</t>
        </is>
      </c>
      <c r="H14" s="10" t="inlineStr">
        <is>
          <t>Una prueba fallida se repite antes de descartar. La etiqueta population de OSM no coincide con el DOF: no se usa.</t>
        </is>
      </c>
    </row>
    <row r="15">
      <c r="A15" s="10" t="n">
        <v>11</v>
      </c>
      <c r="B15" s="10" t="inlineStr">
        <is>
          <t>Claude</t>
        </is>
      </c>
      <c r="C15" s="10" t="inlineStr">
        <is>
          <t>La licencia de cada fuente</t>
        </is>
      </c>
      <c r="D15" s="10" t="inlineStr">
        <is>
          <t>«Abierta explícita» para LAPD y para los permisos</t>
        </is>
      </c>
      <c r="E15" s="10" t="inlineStr">
        <is>
          <t>Leímos los metadatos del portal: NIBRS y los permisos vigentes no declaran licencia; el crimen viejo y el 311 son CC0; la vista de permisos de 2023 es CC BY 4.0</t>
        </is>
      </c>
      <c r="F15" s="10" t="inlineStr">
        <is>
          <t>Incorrecto</t>
        </is>
      </c>
      <c r="G15" s="10" t="inlineStr">
        <is>
          <t>F01, F02, F03, F04, F05</t>
        </is>
      </c>
      <c r="H15" s="10" t="inlineStr">
        <is>
          <t>La licencia se copia como aparece; si no aparece, se escribe «no declara».</t>
        </is>
      </c>
    </row>
    <row r="16">
      <c r="A16" s="10" t="n">
        <v>12</v>
      </c>
      <c r="B16" s="10" t="inlineStr">
        <is>
          <t>Claude</t>
        </is>
      </c>
      <c r="C16" s="10" t="inlineStr">
        <is>
          <t>El script de ingesta de seguridad</t>
        </is>
      </c>
      <c r="D16" s="10" t="inlineStr">
        <is>
          <t>Un script que toma los últimos 12 meses completos del calendario</t>
        </is>
      </c>
      <c r="E16" s="10" t="inlineStr">
        <is>
          <t>Al correrlo el 2026-10-05, septiembre traía 10.097 ofensas frente a unas 18.000 de un mes normal: LAPD solo tenía cargado hasta el 19 de septiembre. Cambiamos el script para que la ventana termine en el último mes completo de la fuente</t>
        </is>
      </c>
      <c r="F16" s="10" t="inlineStr">
        <is>
          <t>Parcial</t>
        </is>
      </c>
      <c r="G16" s="10" t="inlineStr">
        <is>
          <t>F01</t>
        </is>
      </c>
      <c r="H16" s="10" t="inlineStr">
        <is>
          <t>El rezago de carga es parte del dato: la ventana se decide con la fecha máxima de la fuente, no con el calendario.</t>
        </is>
      </c>
    </row>
    <row r="17">
      <c r="A17" s="10" t="n"/>
      <c r="B17" s="10" t="n"/>
      <c r="C17" s="10" t="n"/>
      <c r="D17" s="10" t="n"/>
      <c r="E17" s="10" t="n"/>
      <c r="F17" s="10" t="n"/>
      <c r="G17" s="10" t="n"/>
      <c r="H17" s="10" t="n"/>
    </row>
    <row r="18">
      <c r="A18" s="10" t="n"/>
      <c r="B18" s="10" t="n"/>
      <c r="C18" s="10" t="n"/>
      <c r="D18" s="10" t="n"/>
      <c r="E18" s="10" t="n"/>
      <c r="F18" s="10" t="n"/>
      <c r="G18" s="10" t="n"/>
      <c r="H18" s="10" t="n"/>
    </row>
    <row r="19">
      <c r="A19" s="10" t="n"/>
      <c r="B19" s="10" t="n"/>
      <c r="C19" s="10" t="n"/>
      <c r="D19" s="10" t="n"/>
      <c r="E19" s="10" t="n"/>
      <c r="F19" s="10" t="n"/>
      <c r="G19" s="10" t="n"/>
      <c r="H19" s="10" t="n"/>
    </row>
    <row r="20">
      <c r="A20" s="10" t="n"/>
      <c r="B20" s="10" t="n"/>
      <c r="C20" s="10" t="n"/>
      <c r="D20" s="10" t="n"/>
      <c r="E20" s="10" t="n"/>
      <c r="F20" s="10" t="n"/>
      <c r="G20" s="10" t="n"/>
      <c r="H20" s="10" t="n"/>
    </row>
    <row r="21">
      <c r="A21" s="10" t="n"/>
      <c r="B21" s="10" t="n"/>
      <c r="C21" s="10" t="n"/>
      <c r="D21" s="10" t="n"/>
      <c r="E21" s="10" t="n"/>
      <c r="F21" s="10" t="n"/>
      <c r="G21" s="10" t="n"/>
      <c r="H21" s="10" t="n"/>
    </row>
    <row r="22">
      <c r="A22" s="10" t="n"/>
      <c r="B22" s="10" t="n"/>
      <c r="C22" s="10" t="n"/>
      <c r="D22" s="10" t="n"/>
      <c r="E22" s="10" t="n"/>
      <c r="F22" s="10" t="n"/>
      <c r="G22" s="10" t="n"/>
      <c r="H22" s="10" t="n"/>
    </row>
    <row r="23">
      <c r="A23" s="10" t="n"/>
      <c r="B23" s="10" t="n"/>
      <c r="C23" s="10" t="n"/>
      <c r="D23" s="10" t="n"/>
      <c r="E23" s="10" t="n"/>
      <c r="F23" s="10" t="n"/>
      <c r="G23" s="10" t="n"/>
      <c r="H23" s="10" t="n"/>
    </row>
    <row r="24">
      <c r="A24" s="10" t="n"/>
      <c r="B24" s="10" t="n"/>
      <c r="C24" s="10" t="n"/>
      <c r="D24" s="10" t="n"/>
      <c r="E24" s="10" t="n"/>
      <c r="F24" s="10" t="n"/>
      <c r="G24" s="10" t="n"/>
      <c r="H24" s="10" t="n"/>
    </row>
    <row r="25">
      <c r="A25" s="10" t="n"/>
      <c r="B25" s="10" t="n"/>
      <c r="C25" s="10" t="n"/>
      <c r="D25" s="10" t="n"/>
      <c r="E25" s="10" t="n"/>
      <c r="F25" s="10" t="n"/>
      <c r="G25" s="10" t="n"/>
      <c r="H25" s="10" t="n"/>
    </row>
    <row r="26">
      <c r="A26" s="10" t="n"/>
      <c r="B26" s="10" t="n"/>
      <c r="C26" s="10" t="n"/>
      <c r="D26" s="10" t="n"/>
      <c r="E26" s="10" t="n"/>
      <c r="F26" s="10" t="n"/>
      <c r="G26" s="10" t="n"/>
      <c r="H26" s="10" t="n"/>
    </row>
    <row r="27">
      <c r="A27" s="10" t="n"/>
      <c r="B27" s="10" t="n"/>
      <c r="C27" s="10" t="n"/>
      <c r="D27" s="10" t="n"/>
      <c r="E27" s="10" t="n"/>
      <c r="F27" s="10" t="n"/>
      <c r="G27" s="10" t="n"/>
      <c r="H27" s="10" t="n"/>
    </row>
    <row r="28">
      <c r="A28" s="10" t="n"/>
      <c r="B28" s="10" t="n"/>
      <c r="C28" s="10" t="n"/>
      <c r="D28" s="10" t="n"/>
      <c r="E28" s="10" t="n"/>
      <c r="F28" s="10" t="n"/>
      <c r="G28" s="10" t="n"/>
      <c r="H28" s="10" t="n"/>
    </row>
    <row r="29">
      <c r="A29" s="10" t="n"/>
      <c r="B29" s="10" t="n"/>
      <c r="C29" s="10" t="n"/>
      <c r="D29" s="10" t="n"/>
      <c r="E29" s="10" t="n"/>
      <c r="F29" s="10" t="n"/>
      <c r="G29" s="10" t="n"/>
      <c r="H29" s="10" t="n"/>
    </row>
    <row r="30">
      <c r="A30" s="10" t="n"/>
      <c r="B30" s="10" t="n"/>
      <c r="C30" s="10" t="n"/>
      <c r="D30" s="10" t="n"/>
      <c r="E30" s="10" t="n"/>
      <c r="F30" s="10" t="n"/>
      <c r="G30" s="10" t="n"/>
      <c r="H30" s="10" t="n"/>
    </row>
    <row r="31">
      <c r="A31" s="10" t="n"/>
      <c r="B31" s="10" t="n"/>
      <c r="C31" s="10" t="n"/>
      <c r="D31" s="10" t="n"/>
      <c r="E31" s="10" t="n"/>
      <c r="F31" s="10" t="n"/>
      <c r="G31" s="10" t="n"/>
      <c r="H31" s="10" t="n"/>
    </row>
    <row r="32">
      <c r="A32" s="10" t="n"/>
      <c r="B32" s="10" t="n"/>
      <c r="C32" s="10" t="n"/>
      <c r="D32" s="10" t="n"/>
      <c r="E32" s="10" t="n"/>
      <c r="F32" s="10" t="n"/>
      <c r="G32" s="10" t="n"/>
      <c r="H32" s="10" t="n"/>
    </row>
    <row r="33">
      <c r="A33" s="10" t="n"/>
      <c r="B33" s="10" t="n"/>
      <c r="C33" s="10" t="n"/>
      <c r="D33" s="10" t="n"/>
      <c r="E33" s="10" t="n"/>
      <c r="F33" s="10" t="n"/>
      <c r="G33" s="10" t="n"/>
      <c r="H33" s="10" t="n"/>
    </row>
    <row r="34">
      <c r="A34" s="10" t="n"/>
      <c r="B34" s="10" t="n"/>
      <c r="C34" s="10" t="n"/>
      <c r="D34" s="10" t="n"/>
      <c r="E34" s="10" t="n"/>
      <c r="F34" s="10" t="n"/>
      <c r="G34" s="10" t="n"/>
      <c r="H34" s="10" t="n"/>
    </row>
    <row r="35">
      <c r="A35" s="10" t="n"/>
      <c r="B35" s="10" t="n"/>
      <c r="C35" s="10" t="n"/>
      <c r="D35" s="10" t="n"/>
      <c r="E35" s="10" t="n"/>
      <c r="F35" s="10" t="n"/>
      <c r="G35" s="10" t="n"/>
      <c r="H35" s="10" t="n"/>
    </row>
    <row r="36">
      <c r="A36" s="10" t="n"/>
      <c r="B36" s="10" t="n"/>
      <c r="C36" s="10" t="n"/>
      <c r="D36" s="10" t="n"/>
      <c r="E36" s="10" t="n"/>
      <c r="F36" s="10" t="n"/>
      <c r="G36" s="10" t="n"/>
      <c r="H36" s="10" t="n"/>
    </row>
    <row r="37">
      <c r="A37" s="10" t="n"/>
      <c r="B37" s="10" t="n"/>
      <c r="C37" s="10" t="n"/>
      <c r="D37" s="10" t="n"/>
      <c r="E37" s="10" t="n"/>
      <c r="F37" s="10" t="n"/>
      <c r="G37" s="10" t="n"/>
      <c r="H37" s="10" t="n"/>
    </row>
    <row r="38">
      <c r="A38" s="10" t="n"/>
      <c r="B38" s="10" t="n"/>
      <c r="C38" s="10" t="n"/>
      <c r="D38" s="10" t="n"/>
      <c r="E38" s="10" t="n"/>
      <c r="F38" s="10" t="n"/>
      <c r="G38" s="10" t="n"/>
      <c r="H38" s="10" t="n"/>
    </row>
    <row r="39">
      <c r="A39" s="10" t="n"/>
      <c r="B39" s="10" t="n"/>
      <c r="C39" s="10" t="n"/>
      <c r="D39" s="10" t="n"/>
      <c r="E39" s="10" t="n"/>
      <c r="F39" s="10" t="n"/>
      <c r="G39" s="10" t="n"/>
      <c r="H39" s="10" t="n"/>
    </row>
    <row r="40">
      <c r="A40" s="10" t="n"/>
      <c r="B40" s="10" t="n"/>
      <c r="C40" s="10" t="n"/>
      <c r="D40" s="10" t="n"/>
      <c r="E40" s="10" t="n"/>
      <c r="F40" s="10" t="n"/>
      <c r="G40" s="10" t="n"/>
      <c r="H40" s="10" t="n"/>
    </row>
    <row r="41">
      <c r="A41" s="10" t="n"/>
      <c r="B41" s="10" t="n"/>
      <c r="C41" s="10" t="n"/>
      <c r="D41" s="10" t="n"/>
      <c r="E41" s="10" t="n"/>
      <c r="F41" s="10" t="n"/>
      <c r="G41" s="10" t="n"/>
      <c r="H41" s="10" t="n"/>
    </row>
    <row r="42">
      <c r="A42" s="10" t="n"/>
      <c r="B42" s="10" t="n"/>
      <c r="C42" s="10" t="n"/>
      <c r="D42" s="10" t="n"/>
      <c r="E42" s="10" t="n"/>
      <c r="F42" s="10" t="n"/>
      <c r="G42" s="10" t="n"/>
      <c r="H42" s="10" t="n"/>
    </row>
    <row r="43">
      <c r="A43" s="10" t="n"/>
      <c r="B43" s="10" t="n"/>
      <c r="C43" s="10" t="n"/>
      <c r="D43" s="10" t="n"/>
      <c r="E43" s="10" t="n"/>
      <c r="F43" s="10" t="n"/>
      <c r="G43" s="10" t="n"/>
      <c r="H43" s="10" t="n"/>
    </row>
    <row r="44">
      <c r="A44" s="10" t="n"/>
      <c r="B44" s="10" t="n"/>
      <c r="C44" s="10" t="n"/>
      <c r="D44" s="10" t="n"/>
      <c r="E44" s="10" t="n"/>
      <c r="F44" s="10" t="n"/>
      <c r="G44" s="10" t="n"/>
      <c r="H44" s="10" t="n"/>
    </row>
  </sheetData>
  <dataValidations count="1">
    <dataValidation sqref="F5:F44" showDropDown="0" showInputMessage="0" showErrorMessage="0" allowBlank="1" error="Elijan una opción de la lista" type="list">
      <formula1>"Correcto,Parcial,Incorrecto,Inventado"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10" defaultColWidth="8.83203125" defaultRowHeight="15"/>
  <cols>
    <col width="48" customWidth="1" min="1" max="1"/>
    <col width="14" customWidth="1" min="2" max="2"/>
  </cols>
  <sheetData>
    <row r="1" ht="18" customHeight="1">
      <c r="A1" s="6" t="inlineStr">
        <is>
          <t>Resumen del lago</t>
        </is>
      </c>
    </row>
    <row r="2">
      <c r="A2" s="7" t="inlineStr">
        <is>
          <t>Se calcula solo desde las otras hojas; no cuenta las filas de ejemplo (fila 4).</t>
        </is>
      </c>
    </row>
    <row r="4">
      <c r="A4" s="11" t="inlineStr">
        <is>
          <t>Fuentes registradas</t>
        </is>
      </c>
      <c r="B4" s="12">
        <f>COUNTA('1. Fuentes'!A5:A100)</f>
        <v/>
      </c>
    </row>
    <row r="5">
      <c r="A5" s="13" t="inlineStr">
        <is>
          <t xml:space="preserve">  · integradas al lago</t>
        </is>
      </c>
      <c r="B5" s="12">
        <f>COUNTIF('1. Fuentes'!N5:N100,"Integrada al lago")</f>
        <v/>
      </c>
    </row>
    <row r="6">
      <c r="A6" s="13" t="inlineStr">
        <is>
          <t xml:space="preserve">  · candidatas</t>
        </is>
      </c>
      <c r="B6" s="12">
        <f>COUNTIF('1. Fuentes'!N5:N100,"Candidata")</f>
        <v/>
      </c>
    </row>
    <row r="7">
      <c r="A7" s="13" t="inlineStr">
        <is>
          <t xml:space="preserve">  · que no responden</t>
        </is>
      </c>
      <c r="B7" s="12">
        <f>COUNTIF('1. Fuentes'!N5:N100,"No responde")</f>
        <v/>
      </c>
    </row>
    <row r="8">
      <c r="A8" s="13" t="inlineStr">
        <is>
          <t xml:space="preserve">  · que no existen (inventadas por la IA)</t>
        </is>
      </c>
      <c r="B8" s="12">
        <f>COUNTIF('1. Fuentes'!N5:N100,"No existe (la inventó la IA)")</f>
        <v/>
      </c>
    </row>
    <row r="9">
      <c r="A9" s="13" t="inlineStr">
        <is>
          <t xml:space="preserve">  · descartadas</t>
        </is>
      </c>
      <c r="B9" s="12">
        <f>COUNTIF('1. Fuentes'!N5:N100,"Descartada")</f>
        <v/>
      </c>
    </row>
    <row r="10">
      <c r="A10" s="11" t="inlineStr">
        <is>
          <t>Fuentes con licencia «no declara» o vacía</t>
        </is>
      </c>
      <c r="B10" s="12">
        <f>COUNTIF('1. Fuentes'!H5:H100,"no declara")+COUNTIFS('1. Fuentes'!A5:A100,"&lt;&gt;",'1. Fuentes'!H5:H100,"")</f>
        <v/>
      </c>
    </row>
    <row r="11">
      <c r="A11" s="11" t="inlineStr">
        <is>
          <t>Fuentes con personas identificables o texto libre</t>
        </is>
      </c>
      <c r="B11" s="12">
        <f>COUNTIF('1. Fuentes'!I5:I100,"Personas identificables")+COUNTIF('1. Fuentes'!I5:I100,"Texto libre sin revisar")</f>
        <v/>
      </c>
    </row>
    <row r="12">
      <c r="A12" s="11" t="inlineStr">
        <is>
          <t>Campos en el diccionario</t>
        </is>
      </c>
      <c r="B12" s="12">
        <f>COUNTA('2. Diccionario'!C5:C100)</f>
        <v/>
      </c>
    </row>
    <row r="13">
      <c r="A13" s="13" t="inlineStr">
        <is>
          <t xml:space="preserve">  · clasificados como sensibles o dato personal</t>
        </is>
      </c>
      <c r="B13" s="12">
        <f>COUNTIF('2. Diccionario'!K5:K100,"Sensible")+COUNTIF('2. Diccionario'!K5:K100,"Dato personal")</f>
        <v/>
      </c>
    </row>
    <row r="14">
      <c r="A14" s="13" t="inlineStr">
        <is>
          <t xml:space="preserve">  · sin pregunta del sistema asociada</t>
        </is>
      </c>
      <c r="B14" s="12">
        <f>COUNTIFS('2. Diccionario'!C5:C100,"&lt;&gt;",'2. Diccionario'!M5:M100,"")</f>
        <v/>
      </c>
    </row>
    <row r="15">
      <c r="A15" s="11" t="inlineStr">
        <is>
          <t>Encargos a la IA registrados</t>
        </is>
      </c>
      <c r="B15" s="12">
        <f>COUNTA('3. Bitácora IA'!C5:C100)</f>
        <v/>
      </c>
    </row>
    <row r="16">
      <c r="A16" s="13" t="inlineStr">
        <is>
          <t xml:space="preserve">  · con respuesta incorrecta o inventada</t>
        </is>
      </c>
      <c r="B16" s="12">
        <f>COUNTIF('3. Bitácora IA'!F5:F100,"Incorrecto")+COUNTIF('3. Bitácora IA'!F5:F100,"Inventado")</f>
        <v/>
      </c>
    </row>
    <row r="17">
      <c r="A17" s="11" t="inlineStr">
        <is>
          <t>Porcentaje de aciertos plenos de la IA</t>
        </is>
      </c>
      <c r="B17" s="14">
        <f>IF(B15=0,"-",COUNTIF('3. Bitácora IA'!F5:F100,"Correcto")/B15)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2026-09-28T11:22:59Z</dcterms:created>
  <dcterms:modified xmlns:dcterms="http://purl.org/dc/terms/" xmlns:xsi="http://www.w3.org/2001/XMLSchema-instance" xsi:type="dcterms:W3CDTF">2026-10-05T17:43:00Z</dcterms:modified>
  <cp:lastModifiedBy>Santiago Jimenez Londono</cp:lastModifiedBy>
</cp:coreProperties>
</file>